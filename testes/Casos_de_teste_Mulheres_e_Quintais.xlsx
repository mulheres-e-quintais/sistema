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 usar" sheetId="1" state="visible" r:id="rId3"/>
    <sheet name="Casos de teste" sheetId="2" state="visible" r:id="rId4"/>
    <sheet name="Resumo" sheetId="3" state="visible" r:id="rId5"/>
  </sheets>
  <definedNames>
    <definedName function="false" hidden="true" localSheetId="1" name="_xlnm._FilterDatabase" vbProcedure="false">'Casos de teste'!$A$1:$M$83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<sst xmlns="http://schemas.openxmlformats.org/spreadsheetml/2006/main" count="787" uniqueCount="458">
  <si>
    <t xml:space="preserve">Casos de teste · Sistema Mulheres &amp; Quintais</t>
  </si>
  <si>
    <t xml:space="preserve">Versão do sistema testada: mq-v97 (setembro de 2026)</t>
  </si>
  <si>
    <t xml:space="preserve">Como usar</t>
  </si>
  <si>
    <t xml:space="preserve">1. Cada linha da aba "Casos de teste" é uma coisa para testar. Faça os passos com o perfil indicado e compare com o "Resultado esperado".</t>
  </si>
  <si>
    <t xml:space="preserve">2. A coluna Prioridade diz o que testar primeiro: Crítica, depois Alta, depois Média. Preencha só as colunas com fundo amarelo: Celular e navegador, Testado por, Data, Resultado e Observação.</t>
  </si>
  <si>
    <t xml:space="preserve">3. Em Resultado, escolha: Passou, Falhou, Bloqueado (não deu para testar, por exemplo por falta de pré-condição) ou Não testado.</t>
  </si>
  <si>
    <t xml:space="preserve">4. Quando falhar: escreva em Observação o que apareceu na tela e mande um print da tela para a coordenação geral, citando o ID do caso (ex.: F05).</t>
  </si>
  <si>
    <t xml:space="preserve">5. Teste no celular de verdade de quem vai usar: pelo menos um Android (Chrome) e um iPhone (Safari).</t>
  </si>
  <si>
    <t xml:space="preserve">6. Os casos sem internet (A10, S02, F05) devem ser feitos com o celular em modo avião, de preferência no campo.</t>
  </si>
  <si>
    <t xml:space="preserve">7. A aba "Resumo" conta sozinha quantos passaram e falharam em cada área.</t>
  </si>
  <si>
    <t xml:space="preserve">Antes de começar</t>
  </si>
  <si>
    <t xml:space="preserve">• Use dados inventados. Nunca teste com CPF, nome ou foto de uma mulher real.</t>
  </si>
  <si>
    <t xml:space="preserve">• Os testes mexem no banco de dados. Enquanto não houver dados reais, a coordenação geral pode zerar e popular o banco de teste. Depois que houver dados reais, teste só em um ambiente separado.</t>
  </si>
  <si>
    <t xml:space="preserve">• O caso A01 tem uma linha de exemplo já preenchida, para mostrar o formato. Apague ou substitua pelo seu resultado.</t>
  </si>
  <si>
    <t xml:space="preserve">ID</t>
  </si>
  <si>
    <t xml:space="preserve">Perfil</t>
  </si>
  <si>
    <t xml:space="preserve">Área</t>
  </si>
  <si>
    <t xml:space="preserve">O que testar</t>
  </si>
  <si>
    <t xml:space="preserve">Pré-condição</t>
  </si>
  <si>
    <t xml:space="preserve">Passos</t>
  </si>
  <si>
    <t xml:space="preserve">Resultado esperado</t>
  </si>
  <si>
    <t xml:space="preserve">Prioridade</t>
  </si>
  <si>
    <t xml:space="preserve">Celular e navegador</t>
  </si>
  <si>
    <t xml:space="preserve">Testado por</t>
  </si>
  <si>
    <t xml:space="preserve">Data</t>
  </si>
  <si>
    <t xml:space="preserve">Resultado</t>
  </si>
  <si>
    <t xml:space="preserve">Observação</t>
  </si>
  <si>
    <t xml:space="preserve">A01</t>
  </si>
  <si>
    <t xml:space="preserve">Coordenação geral</t>
  </si>
  <si>
    <t xml:space="preserve">Acesso e login</t>
  </si>
  <si>
    <t xml:space="preserve">Gerar código de acesso</t>
  </si>
  <si>
    <t xml:space="preserve">Pessoa cadastrada que ainda não criou senha</t>
  </si>
  <si>
    <t xml:space="preserve">Equipe → abrir a ficha da pessoa → Gerar código de acesso → Mandar por WhatsApp</t>
  </si>
  <si>
    <t xml:space="preserve">Aparece o código (ex.: ABCD-2345, vale 7 dias) e a mensagem pronta com endereço, e-mail e código</t>
  </si>
  <si>
    <t xml:space="preserve">Crítica</t>
  </si>
  <si>
    <t xml:space="preserve">Moto G, Chrome</t>
  </si>
  <si>
    <t xml:space="preserve">Exemplo</t>
  </si>
  <si>
    <t xml:space="preserve">Passou</t>
  </si>
  <si>
    <t xml:space="preserve">Exemplo de preenchimento: substitua pelo seu teste.</t>
  </si>
  <si>
    <t xml:space="preserve">A02</t>
  </si>
  <si>
    <t xml:space="preserve">Qualquer perfil novo</t>
  </si>
  <si>
    <t xml:space="preserve">Primeiro acesso com código certo</t>
  </si>
  <si>
    <t xml:space="preserve">Ter recebido o código (A01)</t>
  </si>
  <si>
    <t xml:space="preserve">Tela de entrada → Primeiro acesso → e-mail, código e senha (2 vezes) → Criar senha e entrar</t>
  </si>
  <si>
    <t xml:space="preserve">Entra no sistema e vê só as telas do seu perfil</t>
  </si>
  <si>
    <t xml:space="preserve">Não testado</t>
  </si>
  <si>
    <t xml:space="preserve">A03</t>
  </si>
  <si>
    <t xml:space="preserve">Primeiro acesso com código errado</t>
  </si>
  <si>
    <t xml:space="preserve">Pessoa cadastrada, sem senha</t>
  </si>
  <si>
    <t xml:space="preserve">Primeiro acesso → e-mail certo e código inventado</t>
  </si>
  <si>
    <t xml:space="preserve">Recusa com a mensagem "confira o e-mail e o código de acesso". Não cria senha</t>
  </si>
  <si>
    <t xml:space="preserve">A04</t>
  </si>
  <si>
    <t xml:space="preserve">Pessoa de fora</t>
  </si>
  <si>
    <t xml:space="preserve">Tentar entrar no lugar de outra pessoa</t>
  </si>
  <si>
    <t xml:space="preserve">Saber o e-mail de alguém cadastrado que ainda não entrou</t>
  </si>
  <si>
    <t xml:space="preserve">Primeiro acesso com o e-mail dessa pessoa, sem o código dela</t>
  </si>
  <si>
    <t xml:space="preserve">Recusado. Sem o código ninguém cria a senha</t>
  </si>
  <si>
    <t xml:space="preserve">A05</t>
  </si>
  <si>
    <t xml:space="preserve">Qualquer perfil</t>
  </si>
  <si>
    <t xml:space="preserve">Usar o mesmo código duas vezes</t>
  </si>
  <si>
    <t xml:space="preserve">Já ter feito o A02</t>
  </si>
  <si>
    <t xml:space="preserve">Sair → Primeiro acesso de novo com o mesmo e-mail e código</t>
  </si>
  <si>
    <t xml:space="preserve">Aparece "Este e-mail já tem senha"</t>
  </si>
  <si>
    <t xml:space="preserve">Alta</t>
  </si>
  <si>
    <t xml:space="preserve">A06</t>
  </si>
  <si>
    <t xml:space="preserve">Liberar novo acesso (esqueceu a senha)</t>
  </si>
  <si>
    <t xml:space="preserve">Pessoa que já tem senha</t>
  </si>
  <si>
    <t xml:space="preserve">Ficha da pessoa → Liberar novo primeiro acesso → Confirmar → mandar o código novo; a pessoa faz o Primeiro acesso</t>
  </si>
  <si>
    <t xml:space="preserve">Senha antiga deixa de funcionar; a nova funciona; os dados da pessoa continuam iguais; o Histórico registra</t>
  </si>
  <si>
    <t xml:space="preserve">A07</t>
  </si>
  <si>
    <t xml:space="preserve">Coordenação técnica</t>
  </si>
  <si>
    <t xml:space="preserve">Não pode liberar novo acesso</t>
  </si>
  <si>
    <t xml:space="preserve">Bolsista que já tem senha</t>
  </si>
  <si>
    <t xml:space="preserve">Abrir a ficha da bolsista</t>
  </si>
  <si>
    <t xml:space="preserve">O botão "Liberar novo primeiro acesso" não aparece</t>
  </si>
  <si>
    <t xml:space="preserve">A08</t>
  </si>
  <si>
    <t xml:space="preserve">Todos (um login por perfil)</t>
  </si>
  <si>
    <t xml:space="preserve">Cada perfil vê só as suas telas</t>
  </si>
  <si>
    <t xml:space="preserve">Um login de cada perfil</t>
  </si>
  <si>
    <t xml:space="preserve">Entrar com cada login e anotar as abas</t>
  </si>
  <si>
    <t xml:space="preserve">Coord. geral: 8 abas. Coord. técnica: Seleção, Equipe, Campo, Pagamentos, Custos. Bolsista, agente, professor e auxiliar: só a própria tela</t>
  </si>
  <si>
    <t xml:space="preserve">A09</t>
  </si>
  <si>
    <t xml:space="preserve">Continuar na mesma tela ao recarregar</t>
  </si>
  <si>
    <t xml:space="preserve">Estar em uma aba que não é a primeira</t>
  </si>
  <si>
    <t xml:space="preserve">Recarregar a página (puxar a tela para baixo no celular)</t>
  </si>
  <si>
    <t xml:space="preserve">Volta na mesma aba e na mesma altura da página</t>
  </si>
  <si>
    <t xml:space="preserve">Média</t>
  </si>
  <si>
    <t xml:space="preserve">A10</t>
  </si>
  <si>
    <t xml:space="preserve">Bolsista</t>
  </si>
  <si>
    <t xml:space="preserve">Sair sem internet</t>
  </si>
  <si>
    <t xml:space="preserve">Celular em modo avião</t>
  </si>
  <si>
    <t xml:space="preserve">Tocar em Sair</t>
  </si>
  <si>
    <t xml:space="preserve">Pede confirmação ("Sair mesmo?") e avisa que só volta a entrar com internet</t>
  </si>
  <si>
    <t xml:space="preserve">A11</t>
  </si>
  <si>
    <t xml:space="preserve">Senha errada</t>
  </si>
  <si>
    <t xml:space="preserve">Pessoa com senha</t>
  </si>
  <si>
    <t xml:space="preserve">Já tenho senha → senha errada</t>
  </si>
  <si>
    <t xml:space="preserve">"E-mail ou senha incorretos"; não entra</t>
  </si>
  <si>
    <t xml:space="preserve">A12</t>
  </si>
  <si>
    <t xml:space="preserve">Código vencido</t>
  </si>
  <si>
    <t xml:space="preserve">Código gerado para uma pessoa sem senha</t>
  </si>
  <si>
    <t xml:space="preserve">No SQL Editor: update public.acesso_codigos set expira_em = now() - interval '1 minute'; depois tentar o Primeiro acesso</t>
  </si>
  <si>
    <t xml:space="preserve">Recusado; um código novo funciona</t>
  </si>
  <si>
    <t xml:space="preserve">A13</t>
  </si>
  <si>
    <t xml:space="preserve">E-mail digitado diferente</t>
  </si>
  <si>
    <t xml:space="preserve">Código recebido</t>
  </si>
  <si>
    <t xml:space="preserve">Primeiro acesso com o e-mail em maiúsculas ou com espaço no fim</t>
  </si>
  <si>
    <t xml:space="preserve">Aceita (o sistema ignora maiúsculas e espaços)</t>
  </si>
  <si>
    <t xml:space="preserve">C01</t>
  </si>
  <si>
    <t xml:space="preserve">Cadastro da equipe</t>
  </si>
  <si>
    <t xml:space="preserve">Cadastrar coordenação técnica digitando</t>
  </si>
  <si>
    <t xml:space="preserve">Vaga de coordenação técnica aberta</t>
  </si>
  <si>
    <t xml:space="preserve">Equipe → Cadastrar coordenação técnica → Digitar os dados agora → preencher tudo → Cadastrar</t>
  </si>
  <si>
    <t xml:space="preserve">Pessoa aparece na Equipe; Histórico registra quem cadastrou</t>
  </si>
  <si>
    <t xml:space="preserve">C02</t>
  </si>
  <si>
    <t xml:space="preserve">Gerar link de cadastro</t>
  </si>
  <si>
    <t xml:space="preserve">Vaga de bolsista aberta</t>
  </si>
  <si>
    <t xml:space="preserve">Tocar na vaga → Gerar link de cadastro</t>
  </si>
  <si>
    <t xml:space="preserve">Cartão "Link pronto" com Enviar pelo WhatsApp e Copiar link</t>
  </si>
  <si>
    <t xml:space="preserve">C03</t>
  </si>
  <si>
    <t xml:space="preserve">Pessoa convidada</t>
  </si>
  <si>
    <t xml:space="preserve">Preencher o link no celular</t>
  </si>
  <si>
    <t xml:space="preserve">Link do C02</t>
  </si>
  <si>
    <t xml:space="preserve">Abrir o link → preencher dados, perfil no campo e endereço → aceitar o termo → Enviar</t>
  </si>
  <si>
    <t xml:space="preserve">Tela "Pronto, recebemos" com os próximos passos; o link não pode ser usado de novo</t>
  </si>
  <si>
    <t xml:space="preserve">C04</t>
  </si>
  <si>
    <t xml:space="preserve">Aprovar cadastro recebido pelo link</t>
  </si>
  <si>
    <t xml:space="preserve">C03 feito</t>
  </si>
  <si>
    <t xml:space="preserve">Equipe → Cadastros enviados pelo link → abrir → conferir → completar → salvar</t>
  </si>
  <si>
    <t xml:space="preserve">Vira pessoa ativa na vaga; perfil no campo aparece na ficha</t>
  </si>
  <si>
    <t xml:space="preserve">C05</t>
  </si>
  <si>
    <t xml:space="preserve">Máscaras e validação dos campos</t>
  </si>
  <si>
    <t xml:space="preserve">Formulário de cadastro aberto</t>
  </si>
  <si>
    <t xml:space="preserve">Digitar CPF, celular e e-mail com erro (CPF inválido, celular curto, e-mail sem @)</t>
  </si>
  <si>
    <t xml:space="preserve">CPF e celular ganham máscara ao digitar; ao sair do campo aparece o aviso do erro; não deixa salvar</t>
  </si>
  <si>
    <t xml:space="preserve">C06</t>
  </si>
  <si>
    <t xml:space="preserve">CPF repetido</t>
  </si>
  <si>
    <t xml:space="preserve">Pessoa ativa com o CPF X</t>
  </si>
  <si>
    <t xml:space="preserve">Cadastrar outra pessoa com o mesmo CPF</t>
  </si>
  <si>
    <t xml:space="preserve">Recusa: "Esta pessoa já ocupa outra vaga ativa no projeto"</t>
  </si>
  <si>
    <t xml:space="preserve">C07</t>
  </si>
  <si>
    <t xml:space="preserve">Endereço pelo CEP</t>
  </si>
  <si>
    <t xml:space="preserve">Cadastro com "Não" no Arlo</t>
  </si>
  <si>
    <t xml:space="preserve">Digitar um CEP de rua (ex.: capital) e depois um CEP de cidade pequena</t>
  </si>
  <si>
    <t xml:space="preserve">CEP de rua: preenche rua, bairro, cidade e estado e pula para Número. CEP da cidade toda: preenche cidade e estado e avisa para digitar a rua</t>
  </si>
  <si>
    <t xml:space="preserve">C08</t>
  </si>
  <si>
    <t xml:space="preserve">Perfil da bolsista antes de cadastrar</t>
  </si>
  <si>
    <t xml:space="preserve">Cadastrar bolsista digitando</t>
  </si>
  <si>
    <t xml:space="preserve">Rolar até o fim do formulário</t>
  </si>
  <si>
    <t xml:space="preserve">Aparece o bloco "Perfil da bolsista" do Guia antes do botão Cadastrar</t>
  </si>
  <si>
    <t xml:space="preserve">C09</t>
  </si>
  <si>
    <t xml:space="preserve">Perfil no campo obrigatório pelo link</t>
  </si>
  <si>
    <t xml:space="preserve">Link de bolsista ou agente</t>
  </si>
  <si>
    <t xml:space="preserve">Preencher tudo, mas deixar as perguntas do perfil no campo sem resposta → Enviar</t>
  </si>
  <si>
    <t xml:space="preserve">Não envia; marca as perguntas sem resposta</t>
  </si>
  <si>
    <t xml:space="preserve">C10</t>
  </si>
  <si>
    <t xml:space="preserve">Vaga já ocupada</t>
  </si>
  <si>
    <t xml:space="preserve">Articulação ativa no estado</t>
  </si>
  <si>
    <t xml:space="preserve">Tentar cadastrar outra articulação no mesmo estado</t>
  </si>
  <si>
    <t xml:space="preserve">Não permite: é preciso desligar a atual antes</t>
  </si>
  <si>
    <t xml:space="preserve">C11</t>
  </si>
  <si>
    <t xml:space="preserve">Desligar e cadastrar substituta</t>
  </si>
  <si>
    <t xml:space="preserve">Bolsista ativa</t>
  </si>
  <si>
    <t xml:space="preserve">Ficha → Desligar (com motivo) → na vaga, Cadastrar substituta</t>
  </si>
  <si>
    <t xml:space="preserve">Vaga fica livre; a substituta mostra quem ela substitui; Histórico registra</t>
  </si>
  <si>
    <t xml:space="preserve">C12</t>
  </si>
  <si>
    <t xml:space="preserve">Auxiliar administrativo</t>
  </si>
  <si>
    <t xml:space="preserve">Registrar Arlo e termo</t>
  </si>
  <si>
    <t xml:space="preserve">Pessoa sem Arlo registrado</t>
  </si>
  <si>
    <t xml:space="preserve">Ficha → Registrar passos da habilitação → Hoje (Arlo) → Hoje (termo) → anexar termo → Salvar</t>
  </si>
  <si>
    <t xml:space="preserve">Habilitação avança; data no futuro é recusada</t>
  </si>
  <si>
    <t xml:space="preserve">C13</t>
  </si>
  <si>
    <t xml:space="preserve">Ver conta bancária para o Arlo</t>
  </si>
  <si>
    <t xml:space="preserve">Pessoa que informou conta</t>
  </si>
  <si>
    <t xml:space="preserve">Ficha → Ver conta e Pix</t>
  </si>
  <si>
    <t xml:space="preserve">Mostra a conta; o Histórico registra a consulta com nome e hora</t>
  </si>
  <si>
    <t xml:space="preserve">C14</t>
  </si>
  <si>
    <t xml:space="preserve">Editar cadastro</t>
  </si>
  <si>
    <t xml:space="preserve">Pessoa ativa</t>
  </si>
  <si>
    <t xml:space="preserve">Ficha → Editar dados → mudar o celular → salvar</t>
  </si>
  <si>
    <t xml:space="preserve">Celular muda; o CPF não pode ser editado</t>
  </si>
  <si>
    <t xml:space="preserve">C15</t>
  </si>
  <si>
    <t xml:space="preserve">Cadastrar agente de campo</t>
  </si>
  <si>
    <t xml:space="preserve">—</t>
  </si>
  <si>
    <t xml:space="preserve">Agentes de campo → + Agente em PI → cadastrar</t>
  </si>
  <si>
    <t xml:space="preserve">Agente aparece no cartão do PI, sem limite de vagas</t>
  </si>
  <si>
    <t xml:space="preserve">C16</t>
  </si>
  <si>
    <t xml:space="preserve">Link vencido ou já usado</t>
  </si>
  <si>
    <t xml:space="preserve">Link já enviado</t>
  </si>
  <si>
    <t xml:space="preserve">Abrir o mesmo link de novo</t>
  </si>
  <si>
    <t xml:space="preserve">"Link sem validade", com orientação para pedir outro</t>
  </si>
  <si>
    <t xml:space="preserve">C17</t>
  </si>
  <si>
    <t xml:space="preserve">Cadastro fora da sua alçada</t>
  </si>
  <si>
    <t xml:space="preserve">Procurar cadastrar professor, auxiliar ou coordenação técnica</t>
  </si>
  <si>
    <t xml:space="preserve">Os botões não aparecem (só a coordenação geral cadastra)</t>
  </si>
  <si>
    <t xml:space="preserve">P01</t>
  </si>
  <si>
    <t xml:space="preserve">Pendências, guia e ajuda</t>
  </si>
  <si>
    <t xml:space="preserve">Cobrança de pendências</t>
  </si>
  <si>
    <t xml:space="preserve">Cadastro sem conta bancária</t>
  </si>
  <si>
    <t xml:space="preserve">Entrar no sistema</t>
  </si>
  <si>
    <t xml:space="preserve">Abre o painel de pendências uma vez por sessão e mostra a faixa de aviso no topo</t>
  </si>
  <si>
    <t xml:space="preserve">P02</t>
  </si>
  <si>
    <t xml:space="preserve">Informar conta bancária</t>
  </si>
  <si>
    <t xml:space="preserve">Resolver a pendência da conta (ou Meus dados → conta) → Salvar</t>
  </si>
  <si>
    <t xml:space="preserve">Pendência some; na tela, aparece como habilitada quando não faltar mais nada</t>
  </si>
  <si>
    <t xml:space="preserve">P03</t>
  </si>
  <si>
    <t xml:space="preserve">Li e entendi (guia da bolsista)</t>
  </si>
  <si>
    <t xml:space="preserve">Primeiro acesso</t>
  </si>
  <si>
    <t xml:space="preserve">Ler o bloco "Antes de começar" → Li e entendi</t>
  </si>
  <si>
    <t xml:space="preserve">Bloco some e não volta; na ficha dela a coordenação vê "Leu e entendeu em [data e hora]"</t>
  </si>
  <si>
    <t xml:space="preserve">P04</t>
  </si>
  <si>
    <t xml:space="preserve">Agente de campo</t>
  </si>
  <si>
    <t xml:space="preserve">Li e entendi (versão agente)</t>
  </si>
  <si>
    <t xml:space="preserve">Primeiro acesso da agente</t>
  </si>
  <si>
    <t xml:space="preserve">Ler o bloco → Li e entendi</t>
  </si>
  <si>
    <t xml:space="preserve">Texto fala de ajuda de custo por visita (não de bolsa); leitura registrada</t>
  </si>
  <si>
    <t xml:space="preserve">P05</t>
  </si>
  <si>
    <t xml:space="preserve">Todos</t>
  </si>
  <si>
    <t xml:space="preserve">Ajuda de cada tela</t>
  </si>
  <si>
    <t xml:space="preserve">Qualquer tela</t>
  </si>
  <si>
    <t xml:space="preserve">Tocar em ? no alto</t>
  </si>
  <si>
    <t xml:space="preserve">Abre a ajuda da tela em que a pessoa está, com Guia (bolsista/agente) e Dicas para usar o sistema</t>
  </si>
  <si>
    <t xml:space="preserve">P06</t>
  </si>
  <si>
    <t xml:space="preserve">Meus dados</t>
  </si>
  <si>
    <t xml:space="preserve">Tocar na própria foto/iniciais no alto</t>
  </si>
  <si>
    <t xml:space="preserve">Abre Meus dados com celular, endereço e conta bancária</t>
  </si>
  <si>
    <t xml:space="preserve">S01</t>
  </si>
  <si>
    <t xml:space="preserve">Seleção das mulheres</t>
  </si>
  <si>
    <t xml:space="preserve">Nova ficha completa com internet</t>
  </si>
  <si>
    <t xml:space="preserve">Bolsista habilitada</t>
  </si>
  <si>
    <t xml:space="preserve">+ Nova ficha → dados, critérios, termo, fotos da ficha e do termo, localização → Salvar ficha</t>
  </si>
  <si>
    <t xml:space="preserve">Ficha aparece como "Aguardando aprovação"</t>
  </si>
  <si>
    <t xml:space="preserve">S02</t>
  </si>
  <si>
    <t xml:space="preserve">Ficha sem internet</t>
  </si>
  <si>
    <t xml:space="preserve">+ Nova ficha → preencher com fotos → Salvar → ligar a internet</t>
  </si>
  <si>
    <t xml:space="preserve">Sem internet: aviso "guardado neste aparelho". Com internet: envia sozinho (ou Enviar agora) e aparece para a coordenação</t>
  </si>
  <si>
    <t xml:space="preserve">S03</t>
  </si>
  <si>
    <t xml:space="preserve">Critério obrigatório "Não"</t>
  </si>
  <si>
    <t xml:space="preserve">Ficha aberta</t>
  </si>
  <si>
    <t xml:space="preserve">Marcar "Não" em um critério obrigatório</t>
  </si>
  <si>
    <t xml:space="preserve">Só permite o resultado "Não atende aos critérios"</t>
  </si>
  <si>
    <t xml:space="preserve">S04</t>
  </si>
  <si>
    <t xml:space="preserve">Possível duplicidade</t>
  </si>
  <si>
    <t xml:space="preserve">Já existe ficha com o mesmo CPF ou endereço</t>
  </si>
  <si>
    <t xml:space="preserve">Lançar outra ficha com o mesmo CPF ou endereço</t>
  </si>
  <si>
    <t xml:space="preserve">Sistema avisa a possível duplicidade</t>
  </si>
  <si>
    <t xml:space="preserve">S05</t>
  </si>
  <si>
    <t xml:space="preserve">Aprovar e devolver fichas</t>
  </si>
  <si>
    <t xml:space="preserve">Duas fichas aguardando</t>
  </si>
  <si>
    <t xml:space="preserve">Aprovar uma; devolver a outra dizendo o que corrigir</t>
  </si>
  <si>
    <t xml:space="preserve">A bolsista vê a devolvida em "Para corrigir", com o motivo</t>
  </si>
  <si>
    <t xml:space="preserve">S06</t>
  </si>
  <si>
    <t xml:space="preserve">Limite de 40 por estado</t>
  </si>
  <si>
    <t xml:space="preserve">40 selecionadas aprovadas no estado</t>
  </si>
  <si>
    <t xml:space="preserve">Tentar aprovar mais uma como selecionada</t>
  </si>
  <si>
    <t xml:space="preserve">Não ocupa vaga além de 40 (vai para a lista de espera)</t>
  </si>
  <si>
    <t xml:space="preserve">S07</t>
  </si>
  <si>
    <t xml:space="preserve">Localização negada</t>
  </si>
  <si>
    <t xml:space="preserve">Bloquear a localização para o site</t>
  </si>
  <si>
    <t xml:space="preserve">Registrar localização</t>
  </si>
  <si>
    <t xml:space="preserve">Explica como liberar no celular e deixa explicar o motivo no campo "Sem localização?"</t>
  </si>
  <si>
    <t xml:space="preserve">S08</t>
  </si>
  <si>
    <t xml:space="preserve">Sem autorização de uso dos dados</t>
  </si>
  <si>
    <t xml:space="preserve">Marcar "Não autorizo" no uso dos dados → Salvar</t>
  </si>
  <si>
    <t xml:space="preserve">Não salva: "Sem a autorização de uso dos dados, a ficha não pode ser registrada"</t>
  </si>
  <si>
    <t xml:space="preserve">S09</t>
  </si>
  <si>
    <t xml:space="preserve">Corrigir ficha devolvida</t>
  </si>
  <si>
    <t xml:space="preserve">Ficha devolvida (S05)</t>
  </si>
  <si>
    <t xml:space="preserve">Para corrigir → abrir → corrigir → Salvar</t>
  </si>
  <si>
    <t xml:space="preserve">Volta para "Aguardando aprovação"</t>
  </si>
  <si>
    <t xml:space="preserve">S10</t>
  </si>
  <si>
    <t xml:space="preserve">Lista de espera</t>
  </si>
  <si>
    <t xml:space="preserve">Fichas em lista de espera</t>
  </si>
  <si>
    <t xml:space="preserve">Ver a lista de espera do estado</t>
  </si>
  <si>
    <t xml:space="preserve">Ordenadas pela pontuação de prioridade</t>
  </si>
  <si>
    <t xml:space="preserve">S11</t>
  </si>
  <si>
    <t xml:space="preserve">Baixar planilha</t>
  </si>
  <si>
    <t xml:space="preserve">Fichas lançadas</t>
  </si>
  <si>
    <t xml:space="preserve">Seleção → Baixar planilha (CSV) → abrir no Excel</t>
  </si>
  <si>
    <t xml:space="preserve">Uma linha por ficha, acentos corretos</t>
  </si>
  <si>
    <t xml:space="preserve">S12</t>
  </si>
  <si>
    <t xml:space="preserve">Dados de outro estado</t>
  </si>
  <si>
    <t xml:space="preserve">Bolsista do PI e fichas da BA</t>
  </si>
  <si>
    <t xml:space="preserve">Procurar fichas da BA</t>
  </si>
  <si>
    <t xml:space="preserve">Não aparecem</t>
  </si>
  <si>
    <t xml:space="preserve">F01</t>
  </si>
  <si>
    <t xml:space="preserve">Trabalho de campo</t>
  </si>
  <si>
    <t xml:space="preserve">Agendar visita de diagnóstico</t>
  </si>
  <si>
    <t xml:space="preserve">Mulher selecionada e aprovada</t>
  </si>
  <si>
    <t xml:space="preserve">Campo → roteiro → agendar a visita para uma bolsista ou agente habilitada</t>
  </si>
  <si>
    <t xml:space="preserve">A visita aparece na tela de quem vai</t>
  </si>
  <si>
    <t xml:space="preserve">F02</t>
  </si>
  <si>
    <t xml:space="preserve">Agente não habilitada</t>
  </si>
  <si>
    <t xml:space="preserve">Agente sem FIC, Arlo ou termo</t>
  </si>
  <si>
    <t xml:space="preserve">Tentar agendar visita para ela</t>
  </si>
  <si>
    <t xml:space="preserve">Ela não aparece na lista de quem pode visitar</t>
  </si>
  <si>
    <t xml:space="preserve">F03</t>
  </si>
  <si>
    <t xml:space="preserve">Bolsista ou agente</t>
  </si>
  <si>
    <t xml:space="preserve">Diagnóstico completo</t>
  </si>
  <si>
    <t xml:space="preserve">Visita de diagnóstico agendada</t>
  </si>
  <si>
    <t xml:space="preserve">Registrar diagnóstico: 3 fotos, localização, família, água, kit com preço de cada item, cronograma → Salvar</t>
  </si>
  <si>
    <t xml:space="preserve">Salva; a projeção mostra o total do kit e quanto sobra dos R$ 4.500</t>
  </si>
  <si>
    <t xml:space="preserve">F04</t>
  </si>
  <si>
    <t xml:space="preserve">Kit acima de R$ 4.500</t>
  </si>
  <si>
    <t xml:space="preserve">Diagnóstico aberto</t>
  </si>
  <si>
    <t xml:space="preserve">Montar itens que somem mais de R$ 4.500 → Salvar</t>
  </si>
  <si>
    <t xml:space="preserve">Não salva e avisa quanto passou</t>
  </si>
  <si>
    <t xml:space="preserve">F05</t>
  </si>
  <si>
    <t xml:space="preserve">Diagnóstico sem internet</t>
  </si>
  <si>
    <t xml:space="preserve">Modo avião, no quintal</t>
  </si>
  <si>
    <t xml:space="preserve">Registrar o diagnóstico com fotos e GPS → Salvar → voltar a ter internet</t>
  </si>
  <si>
    <t xml:space="preserve">Fica no aparelho; envia sozinho ao reconectar; nada se perde</t>
  </si>
  <si>
    <t xml:space="preserve">F06</t>
  </si>
  <si>
    <t xml:space="preserve">Aprovar e devolver plano</t>
  </si>
  <si>
    <t xml:space="preserve">Diagnóstico enviado</t>
  </si>
  <si>
    <t xml:space="preserve">Campo → Planos para você aprovar → abrir → aprovar um e devolver outro</t>
  </si>
  <si>
    <t xml:space="preserve">Aprovado conta em "Planos aprovados"; devolvido aparece para quem fez em "Para fazer agora"</t>
  </si>
  <si>
    <t xml:space="preserve">F07</t>
  </si>
  <si>
    <t xml:space="preserve">Registrar visita feita</t>
  </si>
  <si>
    <t xml:space="preserve">Visita de implantação ou acompanhamento agendada</t>
  </si>
  <si>
    <t xml:space="preserve">Registrar visita feita → data e relato → Salvar</t>
  </si>
  <si>
    <t xml:space="preserve">Visita fica "feita" e conta como dia de campo</t>
  </si>
  <si>
    <t xml:space="preserve">F08</t>
  </si>
  <si>
    <t xml:space="preserve">Falar em vez de digitar</t>
  </si>
  <si>
    <t xml:space="preserve">Com internet, campo de relato aberto</t>
  </si>
  <si>
    <t xml:space="preserve">Falar → dizer uma frase com "vírgula" e "ponto final" → Parar</t>
  </si>
  <si>
    <t xml:space="preserve">Texto aparece enquanto fala, com vírgula e ponto; dá para corrigir antes de salvar</t>
  </si>
  <si>
    <t xml:space="preserve">F09</t>
  </si>
  <si>
    <t xml:space="preserve">Avaliação final</t>
  </si>
  <si>
    <t xml:space="preserve">Visita de avaliação agendada</t>
  </si>
  <si>
    <t xml:space="preserve">Registrar avaliação → responder e fotografar → Salvar</t>
  </si>
  <si>
    <t xml:space="preserve">Salva; o quintal aparece em "Impacto: antes × depois"</t>
  </si>
  <si>
    <t xml:space="preserve">F10</t>
  </si>
  <si>
    <t xml:space="preserve">Visita atrasada</t>
  </si>
  <si>
    <t xml:space="preserve">Visita com data prevista já passada</t>
  </si>
  <si>
    <t xml:space="preserve">Ver o roteiro</t>
  </si>
  <si>
    <t xml:space="preserve">Visita aparece como "Atrasada", com o botão do que fazer</t>
  </si>
  <si>
    <t xml:space="preserve">F11</t>
  </si>
  <si>
    <t xml:space="preserve">Diagnóstico sem as 3 fotos</t>
  </si>
  <si>
    <t xml:space="preserve">Salvar com só 1 ou 2 fotos</t>
  </si>
  <si>
    <t xml:space="preserve">Não salva: pede visão geral, água e plantio</t>
  </si>
  <si>
    <t xml:space="preserve">F12</t>
  </si>
  <si>
    <t xml:space="preserve">Quintal sem água na seca</t>
  </si>
  <si>
    <t xml:space="preserve">Marcar que a água não dura no período seco → Salvar</t>
  </si>
  <si>
    <t xml:space="preserve">Não pede plano de kit; conta em "Sem água na seca"</t>
  </si>
  <si>
    <t xml:space="preserve">F13</t>
  </si>
  <si>
    <t xml:space="preserve">GPS sem internet</t>
  </si>
  <si>
    <t xml:space="preserve">Modo avião, ao ar livre</t>
  </si>
  <si>
    <t xml:space="preserve">Registra (pode demorar até 1 minuto)</t>
  </si>
  <si>
    <t xml:space="preserve">F14</t>
  </si>
  <si>
    <t xml:space="preserve">Cancelar visita</t>
  </si>
  <si>
    <t xml:space="preserve">Visita prevista</t>
  </si>
  <si>
    <t xml:space="preserve">Abrir a visita → Cancelar visita → Confirmar cancelamento</t>
  </si>
  <si>
    <t xml:space="preserve">Some do roteiro de quem ia; o dia de campo volta</t>
  </si>
  <si>
    <t xml:space="preserve">F15</t>
  </si>
  <si>
    <t xml:space="preserve">Corrigir plano devolvido</t>
  </si>
  <si>
    <t xml:space="preserve">Plano devolvido (F06)</t>
  </si>
  <si>
    <t xml:space="preserve">Para fazer agora → abrir o plano devolvido → corrigir → Salvar</t>
  </si>
  <si>
    <t xml:space="preserve">Volta para a coordenação aprovar</t>
  </si>
  <si>
    <t xml:space="preserve">E01</t>
  </si>
  <si>
    <t xml:space="preserve">Professor do FIC</t>
  </si>
  <si>
    <t xml:space="preserve">Curso FIC e entregas do mês</t>
  </si>
  <si>
    <t xml:space="preserve">Criar turma e matricular</t>
  </si>
  <si>
    <t xml:space="preserve">Bolsista ou agente sem matrícula</t>
  </si>
  <si>
    <t xml:space="preserve">Curso FIC → + Nova turma → + Matricular → pessoa, número SUAP e data</t>
  </si>
  <si>
    <t xml:space="preserve">Matrícula registrada; o passo "FIC" da habilitação da pessoa fica feito</t>
  </si>
  <si>
    <t xml:space="preserve">E02</t>
  </si>
  <si>
    <t xml:space="preserve">Confirmar acesso ao AVA</t>
  </si>
  <si>
    <t xml:space="preserve">Aluna matriculada</t>
  </si>
  <si>
    <t xml:space="preserve">Acesso ao AVA no mês → marcar a aluna</t>
  </si>
  <si>
    <t xml:space="preserve">Fica "Acessou"; na tela da bolsista, a entrega "Acesso ao AVA" fica ✓</t>
  </si>
  <si>
    <t xml:space="preserve">E03</t>
  </si>
  <si>
    <t xml:space="preserve">Não marca mês futuro</t>
  </si>
  <si>
    <t xml:space="preserve">No AVA, tentar avançar para o mês seguinte</t>
  </si>
  <si>
    <t xml:space="preserve">O botão › fica desativado</t>
  </si>
  <si>
    <t xml:space="preserve">E04</t>
  </si>
  <si>
    <t xml:space="preserve">Entregas do mês</t>
  </si>
  <si>
    <t xml:space="preserve">Visitas feitas no mês</t>
  </si>
  <si>
    <t xml:space="preserve">Ver o cartão Entregas do mês</t>
  </si>
  <si>
    <t xml:space="preserve">Mostra as 6 entregas; fotos e fichas contam as visitas do mês</t>
  </si>
  <si>
    <t xml:space="preserve">E05</t>
  </si>
  <si>
    <t xml:space="preserve">Marcar lista de presença</t>
  </si>
  <si>
    <t xml:space="preserve">Entregas do mês → Entreguei; depois Desmarcar</t>
  </si>
  <si>
    <t xml:space="preserve">Vira ✓ e volta ao desmarcar</t>
  </si>
  <si>
    <t xml:space="preserve">G01</t>
  </si>
  <si>
    <t xml:space="preserve">Pagamentos</t>
  </si>
  <si>
    <t xml:space="preserve">Pedir a bolsa do mês</t>
  </si>
  <si>
    <t xml:space="preserve">Solicitar pagamento → escrever o relatório → Solicitar bolsa</t>
  </si>
  <si>
    <t xml:space="preserve">Pedido fica "Solicitada"; o relatório conta nas Entregas do mês</t>
  </si>
  <si>
    <t xml:space="preserve">G02</t>
  </si>
  <si>
    <t xml:space="preserve">Bolsista não habilitada</t>
  </si>
  <si>
    <t xml:space="preserve">Falta FIC, Arlo ou termo</t>
  </si>
  <si>
    <t xml:space="preserve">Solicitar pagamento</t>
  </si>
  <si>
    <t xml:space="preserve">Botão desativado e aviso de que a habilitação não está completa</t>
  </si>
  <si>
    <t xml:space="preserve">G03</t>
  </si>
  <si>
    <t xml:space="preserve">Pedir ajuda de custo</t>
  </si>
  <si>
    <t xml:space="preserve">Solicitar pagamento → Ajuda de custo</t>
  </si>
  <si>
    <t xml:space="preserve">Valor calculado pelas visitas; as visitas ficam travadas no pedido</t>
  </si>
  <si>
    <t xml:space="preserve">G04</t>
  </si>
  <si>
    <t xml:space="preserve">Dar aval conferindo as entregas</t>
  </si>
  <si>
    <t xml:space="preserve">Pedido de bolsa solicitado</t>
  </si>
  <si>
    <t xml:space="preserve">Pagamentos → abrir o pedido → ver Entregas do mês → Dar aval (ou Devolver)</t>
  </si>
  <si>
    <t xml:space="preserve">Com aval, vai para o auxiliar; devolvido volta para a bolsista com o motivo</t>
  </si>
  <si>
    <t xml:space="preserve">G05</t>
  </si>
  <si>
    <t xml:space="preserve">Aval da bolsa da coordenação técnica</t>
  </si>
  <si>
    <t xml:space="preserve">Pedido da coordenação técnica</t>
  </si>
  <si>
    <t xml:space="preserve">Pagamentos → dar o aval</t>
  </si>
  <si>
    <t xml:space="preserve">Só a coordenação geral consegue dar esse aval</t>
  </si>
  <si>
    <t xml:space="preserve">G06</t>
  </si>
  <si>
    <t xml:space="preserve">Lançar no Arlo</t>
  </si>
  <si>
    <t xml:space="preserve">Pedido com aval</t>
  </si>
  <si>
    <t xml:space="preserve">Pagamentos para lançar → registrar o protocolo</t>
  </si>
  <si>
    <t xml:space="preserve">Pedido fica "Lançada no Arlo" com o protocolo</t>
  </si>
  <si>
    <t xml:space="preserve">V01</t>
  </si>
  <si>
    <t xml:space="preserve">Coordenação e uso geral</t>
  </si>
  <si>
    <t xml:space="preserve">Visão geral</t>
  </si>
  <si>
    <t xml:space="preserve">Dados de teste lançados</t>
  </si>
  <si>
    <t xml:space="preserve">Abrir Visão geral e tocar nos avisos</t>
  </si>
  <si>
    <t xml:space="preserve">Avisos levam à aba certa; "Quem é a equipe de execução" bate com a aba Equipe</t>
  </si>
  <si>
    <t xml:space="preserve">V02</t>
  </si>
  <si>
    <t xml:space="preserve">Histórico</t>
  </si>
  <si>
    <t xml:space="preserve">Ações feitas nos testes</t>
  </si>
  <si>
    <t xml:space="preserve">Abrir Histórico</t>
  </si>
  <si>
    <t xml:space="preserve">Cada ação aparece com autor e hora, agrupada por dia, frases legíveis</t>
  </si>
  <si>
    <t xml:space="preserve">V03</t>
  </si>
  <si>
    <t xml:space="preserve">Financeiro e entregas</t>
  </si>
  <si>
    <t xml:space="preserve">Visão geral → Financeiro e entregas; depois entrar como coord. técnica</t>
  </si>
  <si>
    <t xml:space="preserve">Coord. geral vê o botão; coord. técnica não</t>
  </si>
  <si>
    <t xml:space="preserve">V04</t>
  </si>
  <si>
    <t xml:space="preserve">Procurar fichas e pessoas da BA</t>
  </si>
  <si>
    <t xml:space="preserve">Não aparecem (cada bolsista vê só o seu estado)</t>
  </si>
  <si>
    <t xml:space="preserve">V05</t>
  </si>
  <si>
    <t xml:space="preserve">Dados protegidos</t>
  </si>
  <si>
    <t xml:space="preserve">Abrir a lista de matrícula</t>
  </si>
  <si>
    <t xml:space="preserve">Não vê CPF nem telefone das pessoas</t>
  </si>
  <si>
    <t xml:space="preserve">V06</t>
  </si>
  <si>
    <t xml:space="preserve">Celular pequeno</t>
  </si>
  <si>
    <t xml:space="preserve">Android e iPhone</t>
  </si>
  <si>
    <t xml:space="preserve">Percorrer todas as telas do perfil</t>
  </si>
  <si>
    <t xml:space="preserve">Sem rolagem para os lados; campos da mesma linha alinhados; botões fáceis de tocar</t>
  </si>
  <si>
    <t xml:space="preserve">V07</t>
  </si>
  <si>
    <t xml:space="preserve">Instalar como aplicativo</t>
  </si>
  <si>
    <t xml:space="preserve">Chrome (Android) ou Safari (iPhone)</t>
  </si>
  <si>
    <t xml:space="preserve">Menu → Adicionar à tela inicial → abrir pelo ícone</t>
  </si>
  <si>
    <t xml:space="preserve">Abre como aplicativo, sem a barra do navegador</t>
  </si>
  <si>
    <t xml:space="preserve">V08</t>
  </si>
  <si>
    <t xml:space="preserve">Receber a versão nova</t>
  </si>
  <si>
    <t xml:space="preserve">Depois de uma atualização do sistema</t>
  </si>
  <si>
    <t xml:space="preserve">Fechar o sistema e abrir de novo</t>
  </si>
  <si>
    <t xml:space="preserve">Carrega a versão nova (as mudanças aparecem)</t>
  </si>
  <si>
    <t xml:space="preserve">Casos</t>
  </si>
  <si>
    <t xml:space="preserve">Falhou</t>
  </si>
  <si>
    <t xml:space="preserve">Bloqueado</t>
  </si>
  <si>
    <t xml:space="preserve">% testado</t>
  </si>
  <si>
    <t xml:space="preserve">% que passou (dos testados)</t>
  </si>
  <si>
    <t xml:space="preserve">Total</t>
  </si>
  <si>
    <t xml:space="preserve">Conta sozinho a partir da coluna Resultado da aba "Casos de teste". "Bloqueado" e "Não testado" não entram no % que passou.</t>
  </si>
  <si>
    <t xml:space="preserve">Falhas abertas (IDs):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</si>
</sst>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0%"/>
    <numFmt numFmtId="167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B23A2E"/>
      <name val="Arial"/>
      <family val="0"/>
      <charset val="1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452B1A"/>
        <bgColor rgb="FF333300"/>
      </patternFill>
    </fill>
    <fill>
      <patternFill patternType="solid">
        <fgColor rgb="FFFFF3C4"/>
        <bgColor rgb="FFFCE5C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CBB8"/>
      </left>
      <right style="thin">
        <color rgb="FFD9CBB8"/>
      </right>
      <top style="thin">
        <color rgb="FFD9CBB8"/>
      </top>
      <bottom style="thin">
        <color rgb="FFD9CBB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452B1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23A2E"/>
          <bgColor rgb="FF000000"/>
        </patternFill>
      </fill>
    </dxf>
    <dxf>
      <fill>
        <patternFill patternType="solid">
          <fgColor rgb="FFFFF3C4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CE5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CBB8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CE5CD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23A2E"/>
      <rgbColor rgb="FF993366"/>
      <rgbColor rgb="FF333399"/>
      <rgbColor rgb="FF452B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23.8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23.8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2" t="s">
        <v>11</v>
      </c>
    </row>
    <row r="15" customFormat="false" ht="23.8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8"/>
    <col collapsed="false" customWidth="true" hidden="false" outlineLevel="0" max="5" min="5" style="0" width="26"/>
    <col collapsed="false" customWidth="true" hidden="false" outlineLevel="0" max="7" min="6" style="0" width="46"/>
    <col collapsed="false" customWidth="true" hidden="false" outlineLevel="0" max="8" min="8" style="0" width="11"/>
    <col collapsed="false" customWidth="true" hidden="false" outlineLevel="0" max="9" min="9" style="0" width="18"/>
    <col collapsed="false" customWidth="true" hidden="false" outlineLevel="0" max="10" min="10" style="0" width="16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34"/>
  </cols>
  <sheetData>
    <row r="1" customFormat="false" ht="30" hidden="false" customHeight="true" outlineLevel="0" collapsed="false">
      <c r="A1" s="4" t="s">
        <v>14</v>
      </c>
      <c r="B1" s="4" t="s">
        <v>15</v>
      </c>
      <c r="C1" s="4" t="s">
        <v>16</v>
      </c>
      <c r="D1" s="4" t="s">
        <v>17</v>
      </c>
      <c r="E1" s="4" t="s">
        <v>18</v>
      </c>
      <c r="F1" s="4" t="s">
        <v>19</v>
      </c>
      <c r="G1" s="4" t="s">
        <v>20</v>
      </c>
      <c r="H1" s="4" t="s">
        <v>21</v>
      </c>
      <c r="I1" s="4" t="s">
        <v>22</v>
      </c>
      <c r="J1" s="4" t="s">
        <v>23</v>
      </c>
      <c r="K1" s="4" t="s">
        <v>24</v>
      </c>
      <c r="L1" s="4" t="s">
        <v>25</v>
      </c>
      <c r="M1" s="4" t="s">
        <v>26</v>
      </c>
    </row>
    <row r="2" customFormat="false" ht="23.85" hidden="false" customHeight="false" outlineLevel="0" collapsed="false">
      <c r="A2" s="5" t="s">
        <v>27</v>
      </c>
      <c r="B2" s="6" t="s">
        <v>28</v>
      </c>
      <c r="C2" s="6" t="s">
        <v>29</v>
      </c>
      <c r="D2" s="6" t="s">
        <v>30</v>
      </c>
      <c r="E2" s="6" t="s">
        <v>31</v>
      </c>
      <c r="F2" s="6" t="s">
        <v>32</v>
      </c>
      <c r="G2" s="6" t="s">
        <v>33</v>
      </c>
      <c r="H2" s="7" t="s">
        <v>34</v>
      </c>
      <c r="I2" s="8" t="s">
        <v>35</v>
      </c>
      <c r="J2" s="8" t="s">
        <v>36</v>
      </c>
      <c r="K2" s="9" t="n">
        <v>46294</v>
      </c>
      <c r="L2" s="8" t="s">
        <v>37</v>
      </c>
      <c r="M2" s="8" t="s">
        <v>38</v>
      </c>
    </row>
    <row r="3" customFormat="false" ht="23.85" hidden="false" customHeight="false" outlineLevel="0" collapsed="false">
      <c r="A3" s="5" t="s">
        <v>39</v>
      </c>
      <c r="B3" s="6" t="s">
        <v>40</v>
      </c>
      <c r="C3" s="6" t="s">
        <v>29</v>
      </c>
      <c r="D3" s="6" t="s">
        <v>41</v>
      </c>
      <c r="E3" s="6" t="s">
        <v>42</v>
      </c>
      <c r="F3" s="6" t="s">
        <v>43</v>
      </c>
      <c r="G3" s="6" t="s">
        <v>44</v>
      </c>
      <c r="H3" s="7" t="s">
        <v>34</v>
      </c>
      <c r="I3" s="8"/>
      <c r="J3" s="8"/>
      <c r="K3" s="9"/>
      <c r="L3" s="8" t="s">
        <v>45</v>
      </c>
      <c r="M3" s="8"/>
    </row>
    <row r="4" customFormat="false" ht="23.85" hidden="false" customHeight="false" outlineLevel="0" collapsed="false">
      <c r="A4" s="5" t="s">
        <v>46</v>
      </c>
      <c r="B4" s="6" t="s">
        <v>40</v>
      </c>
      <c r="C4" s="6" t="s">
        <v>29</v>
      </c>
      <c r="D4" s="6" t="s">
        <v>47</v>
      </c>
      <c r="E4" s="6" t="s">
        <v>48</v>
      </c>
      <c r="F4" s="6" t="s">
        <v>49</v>
      </c>
      <c r="G4" s="6" t="s">
        <v>50</v>
      </c>
      <c r="H4" s="7" t="s">
        <v>34</v>
      </c>
      <c r="I4" s="8"/>
      <c r="J4" s="8"/>
      <c r="K4" s="9"/>
      <c r="L4" s="8" t="s">
        <v>45</v>
      </c>
      <c r="M4" s="8"/>
    </row>
    <row r="5" customFormat="false" ht="35.05" hidden="false" customHeight="false" outlineLevel="0" collapsed="false">
      <c r="A5" s="5" t="s">
        <v>51</v>
      </c>
      <c r="B5" s="6" t="s">
        <v>52</v>
      </c>
      <c r="C5" s="6" t="s">
        <v>29</v>
      </c>
      <c r="D5" s="6" t="s">
        <v>53</v>
      </c>
      <c r="E5" s="6" t="s">
        <v>54</v>
      </c>
      <c r="F5" s="6" t="s">
        <v>55</v>
      </c>
      <c r="G5" s="6" t="s">
        <v>56</v>
      </c>
      <c r="H5" s="7" t="s">
        <v>34</v>
      </c>
      <c r="I5" s="8"/>
      <c r="J5" s="8"/>
      <c r="K5" s="9"/>
      <c r="L5" s="8" t="s">
        <v>45</v>
      </c>
      <c r="M5" s="8"/>
    </row>
    <row r="6" customFormat="false" ht="23.85" hidden="false" customHeight="false" outlineLevel="0" collapsed="false">
      <c r="A6" s="5" t="s">
        <v>57</v>
      </c>
      <c r="B6" s="6" t="s">
        <v>58</v>
      </c>
      <c r="C6" s="6" t="s">
        <v>29</v>
      </c>
      <c r="D6" s="6" t="s">
        <v>59</v>
      </c>
      <c r="E6" s="6" t="s">
        <v>60</v>
      </c>
      <c r="F6" s="6" t="s">
        <v>61</v>
      </c>
      <c r="G6" s="6" t="s">
        <v>62</v>
      </c>
      <c r="H6" s="6" t="s">
        <v>63</v>
      </c>
      <c r="I6" s="8"/>
      <c r="J6" s="8"/>
      <c r="K6" s="9"/>
      <c r="L6" s="8" t="s">
        <v>45</v>
      </c>
      <c r="M6" s="8"/>
    </row>
    <row r="7" customFormat="false" ht="35.05" hidden="false" customHeight="false" outlineLevel="0" collapsed="false">
      <c r="A7" s="5" t="s">
        <v>64</v>
      </c>
      <c r="B7" s="6" t="s">
        <v>28</v>
      </c>
      <c r="C7" s="6" t="s">
        <v>29</v>
      </c>
      <c r="D7" s="6" t="s">
        <v>65</v>
      </c>
      <c r="E7" s="6" t="s">
        <v>66</v>
      </c>
      <c r="F7" s="6" t="s">
        <v>67</v>
      </c>
      <c r="G7" s="6" t="s">
        <v>68</v>
      </c>
      <c r="H7" s="7" t="s">
        <v>34</v>
      </c>
      <c r="I7" s="8"/>
      <c r="J7" s="8"/>
      <c r="K7" s="9"/>
      <c r="L7" s="8" t="s">
        <v>45</v>
      </c>
      <c r="M7" s="8"/>
    </row>
    <row r="8" customFormat="false" ht="15" hidden="false" customHeight="false" outlineLevel="0" collapsed="false">
      <c r="A8" s="5" t="s">
        <v>69</v>
      </c>
      <c r="B8" s="6" t="s">
        <v>70</v>
      </c>
      <c r="C8" s="6" t="s">
        <v>29</v>
      </c>
      <c r="D8" s="6" t="s">
        <v>71</v>
      </c>
      <c r="E8" s="6" t="s">
        <v>72</v>
      </c>
      <c r="F8" s="6" t="s">
        <v>73</v>
      </c>
      <c r="G8" s="6" t="s">
        <v>74</v>
      </c>
      <c r="H8" s="6" t="s">
        <v>63</v>
      </c>
      <c r="I8" s="8"/>
      <c r="J8" s="8"/>
      <c r="K8" s="9"/>
      <c r="L8" s="8" t="s">
        <v>45</v>
      </c>
      <c r="M8" s="8"/>
    </row>
    <row r="9" customFormat="false" ht="35.05" hidden="false" customHeight="false" outlineLevel="0" collapsed="false">
      <c r="A9" s="5" t="s">
        <v>75</v>
      </c>
      <c r="B9" s="6" t="s">
        <v>76</v>
      </c>
      <c r="C9" s="6" t="s">
        <v>29</v>
      </c>
      <c r="D9" s="6" t="s">
        <v>77</v>
      </c>
      <c r="E9" s="6" t="s">
        <v>78</v>
      </c>
      <c r="F9" s="6" t="s">
        <v>79</v>
      </c>
      <c r="G9" s="6" t="s">
        <v>80</v>
      </c>
      <c r="H9" s="7" t="s">
        <v>34</v>
      </c>
      <c r="I9" s="8"/>
      <c r="J9" s="8"/>
      <c r="K9" s="9"/>
      <c r="L9" s="8" t="s">
        <v>45</v>
      </c>
      <c r="M9" s="8"/>
    </row>
    <row r="10" customFormat="false" ht="23.85" hidden="false" customHeight="false" outlineLevel="0" collapsed="false">
      <c r="A10" s="5" t="s">
        <v>81</v>
      </c>
      <c r="B10" s="6" t="s">
        <v>58</v>
      </c>
      <c r="C10" s="6" t="s">
        <v>29</v>
      </c>
      <c r="D10" s="6" t="s">
        <v>82</v>
      </c>
      <c r="E10" s="6" t="s">
        <v>83</v>
      </c>
      <c r="F10" s="6" t="s">
        <v>84</v>
      </c>
      <c r="G10" s="6" t="s">
        <v>85</v>
      </c>
      <c r="H10" s="6" t="s">
        <v>86</v>
      </c>
      <c r="I10" s="8"/>
      <c r="J10" s="8"/>
      <c r="K10" s="9"/>
      <c r="L10" s="8" t="s">
        <v>45</v>
      </c>
      <c r="M10" s="8"/>
    </row>
    <row r="11" customFormat="false" ht="23.85" hidden="false" customHeight="false" outlineLevel="0" collapsed="false">
      <c r="A11" s="5" t="s">
        <v>87</v>
      </c>
      <c r="B11" s="6" t="s">
        <v>88</v>
      </c>
      <c r="C11" s="6" t="s">
        <v>29</v>
      </c>
      <c r="D11" s="6" t="s">
        <v>89</v>
      </c>
      <c r="E11" s="6" t="s">
        <v>90</v>
      </c>
      <c r="F11" s="6" t="s">
        <v>91</v>
      </c>
      <c r="G11" s="6" t="s">
        <v>92</v>
      </c>
      <c r="H11" s="6" t="s">
        <v>63</v>
      </c>
      <c r="I11" s="8"/>
      <c r="J11" s="8"/>
      <c r="K11" s="9"/>
      <c r="L11" s="8" t="s">
        <v>45</v>
      </c>
      <c r="M11" s="8"/>
    </row>
    <row r="12" customFormat="false" ht="15" hidden="false" customHeight="false" outlineLevel="0" collapsed="false">
      <c r="A12" s="5" t="s">
        <v>93</v>
      </c>
      <c r="B12" s="6" t="s">
        <v>58</v>
      </c>
      <c r="C12" s="6" t="s">
        <v>29</v>
      </c>
      <c r="D12" s="6" t="s">
        <v>94</v>
      </c>
      <c r="E12" s="6" t="s">
        <v>95</v>
      </c>
      <c r="F12" s="6" t="s">
        <v>96</v>
      </c>
      <c r="G12" s="6" t="s">
        <v>97</v>
      </c>
      <c r="H12" s="6" t="s">
        <v>63</v>
      </c>
      <c r="I12" s="8"/>
      <c r="J12" s="8"/>
      <c r="K12" s="9"/>
      <c r="L12" s="8" t="s">
        <v>45</v>
      </c>
      <c r="M12" s="8"/>
    </row>
    <row r="13" customFormat="false" ht="35.05" hidden="false" customHeight="false" outlineLevel="0" collapsed="false">
      <c r="A13" s="5" t="s">
        <v>98</v>
      </c>
      <c r="B13" s="6" t="s">
        <v>28</v>
      </c>
      <c r="C13" s="6" t="s">
        <v>29</v>
      </c>
      <c r="D13" s="6" t="s">
        <v>99</v>
      </c>
      <c r="E13" s="6" t="s">
        <v>100</v>
      </c>
      <c r="F13" s="6" t="s">
        <v>101</v>
      </c>
      <c r="G13" s="6" t="s">
        <v>102</v>
      </c>
      <c r="H13" s="6" t="s">
        <v>63</v>
      </c>
      <c r="I13" s="8"/>
      <c r="J13" s="8"/>
      <c r="K13" s="9"/>
      <c r="L13" s="8" t="s">
        <v>45</v>
      </c>
      <c r="M13" s="8"/>
    </row>
    <row r="14" customFormat="false" ht="23.85" hidden="false" customHeight="false" outlineLevel="0" collapsed="false">
      <c r="A14" s="5" t="s">
        <v>103</v>
      </c>
      <c r="B14" s="6" t="s">
        <v>40</v>
      </c>
      <c r="C14" s="6" t="s">
        <v>29</v>
      </c>
      <c r="D14" s="6" t="s">
        <v>104</v>
      </c>
      <c r="E14" s="6" t="s">
        <v>105</v>
      </c>
      <c r="F14" s="6" t="s">
        <v>106</v>
      </c>
      <c r="G14" s="6" t="s">
        <v>107</v>
      </c>
      <c r="H14" s="6" t="s">
        <v>86</v>
      </c>
      <c r="I14" s="8"/>
      <c r="J14" s="8"/>
      <c r="K14" s="9"/>
      <c r="L14" s="8" t="s">
        <v>45</v>
      </c>
      <c r="M14" s="8"/>
    </row>
    <row r="15" customFormat="false" ht="23.85" hidden="false" customHeight="false" outlineLevel="0" collapsed="false">
      <c r="A15" s="5" t="s">
        <v>108</v>
      </c>
      <c r="B15" s="6" t="s">
        <v>28</v>
      </c>
      <c r="C15" s="6" t="s">
        <v>109</v>
      </c>
      <c r="D15" s="6" t="s">
        <v>110</v>
      </c>
      <c r="E15" s="6" t="s">
        <v>111</v>
      </c>
      <c r="F15" s="6" t="s">
        <v>112</v>
      </c>
      <c r="G15" s="6" t="s">
        <v>113</v>
      </c>
      <c r="H15" s="7" t="s">
        <v>34</v>
      </c>
      <c r="I15" s="8"/>
      <c r="J15" s="8"/>
      <c r="K15" s="9"/>
      <c r="L15" s="8" t="s">
        <v>45</v>
      </c>
      <c r="M15" s="8"/>
    </row>
    <row r="16" customFormat="false" ht="23.85" hidden="false" customHeight="false" outlineLevel="0" collapsed="false">
      <c r="A16" s="5" t="s">
        <v>114</v>
      </c>
      <c r="B16" s="6" t="s">
        <v>70</v>
      </c>
      <c r="C16" s="6" t="s">
        <v>109</v>
      </c>
      <c r="D16" s="6" t="s">
        <v>115</v>
      </c>
      <c r="E16" s="6" t="s">
        <v>116</v>
      </c>
      <c r="F16" s="6" t="s">
        <v>117</v>
      </c>
      <c r="G16" s="6" t="s">
        <v>118</v>
      </c>
      <c r="H16" s="6" t="s">
        <v>63</v>
      </c>
      <c r="I16" s="8"/>
      <c r="J16" s="8"/>
      <c r="K16" s="9"/>
      <c r="L16" s="8" t="s">
        <v>45</v>
      </c>
      <c r="M16" s="8"/>
    </row>
    <row r="17" customFormat="false" ht="23.85" hidden="false" customHeight="false" outlineLevel="0" collapsed="false">
      <c r="A17" s="5" t="s">
        <v>119</v>
      </c>
      <c r="B17" s="6" t="s">
        <v>120</v>
      </c>
      <c r="C17" s="6" t="s">
        <v>109</v>
      </c>
      <c r="D17" s="6" t="s">
        <v>121</v>
      </c>
      <c r="E17" s="6" t="s">
        <v>122</v>
      </c>
      <c r="F17" s="6" t="s">
        <v>123</v>
      </c>
      <c r="G17" s="6" t="s">
        <v>124</v>
      </c>
      <c r="H17" s="7" t="s">
        <v>34</v>
      </c>
      <c r="I17" s="8"/>
      <c r="J17" s="8"/>
      <c r="K17" s="9"/>
      <c r="L17" s="8" t="s">
        <v>45</v>
      </c>
      <c r="M17" s="8"/>
    </row>
    <row r="18" customFormat="false" ht="23.85" hidden="false" customHeight="false" outlineLevel="0" collapsed="false">
      <c r="A18" s="5" t="s">
        <v>125</v>
      </c>
      <c r="B18" s="6" t="s">
        <v>70</v>
      </c>
      <c r="C18" s="6" t="s">
        <v>109</v>
      </c>
      <c r="D18" s="6" t="s">
        <v>126</v>
      </c>
      <c r="E18" s="6" t="s">
        <v>127</v>
      </c>
      <c r="F18" s="6" t="s">
        <v>128</v>
      </c>
      <c r="G18" s="6" t="s">
        <v>129</v>
      </c>
      <c r="H18" s="7" t="s">
        <v>34</v>
      </c>
      <c r="I18" s="8"/>
      <c r="J18" s="8"/>
      <c r="K18" s="9"/>
      <c r="L18" s="8" t="s">
        <v>45</v>
      </c>
      <c r="M18" s="8"/>
    </row>
    <row r="19" customFormat="false" ht="23.85" hidden="false" customHeight="false" outlineLevel="0" collapsed="false">
      <c r="A19" s="5" t="s">
        <v>130</v>
      </c>
      <c r="B19" s="6" t="s">
        <v>70</v>
      </c>
      <c r="C19" s="6" t="s">
        <v>109</v>
      </c>
      <c r="D19" s="6" t="s">
        <v>131</v>
      </c>
      <c r="E19" s="6" t="s">
        <v>132</v>
      </c>
      <c r="F19" s="6" t="s">
        <v>133</v>
      </c>
      <c r="G19" s="6" t="s">
        <v>134</v>
      </c>
      <c r="H19" s="6" t="s">
        <v>63</v>
      </c>
      <c r="I19" s="8"/>
      <c r="J19" s="8"/>
      <c r="K19" s="9"/>
      <c r="L19" s="8" t="s">
        <v>45</v>
      </c>
      <c r="M19" s="8"/>
    </row>
    <row r="20" customFormat="false" ht="23.85" hidden="false" customHeight="false" outlineLevel="0" collapsed="false">
      <c r="A20" s="5" t="s">
        <v>135</v>
      </c>
      <c r="B20" s="6" t="s">
        <v>70</v>
      </c>
      <c r="C20" s="6" t="s">
        <v>109</v>
      </c>
      <c r="D20" s="6" t="s">
        <v>136</v>
      </c>
      <c r="E20" s="6" t="s">
        <v>137</v>
      </c>
      <c r="F20" s="6" t="s">
        <v>138</v>
      </c>
      <c r="G20" s="6" t="s">
        <v>139</v>
      </c>
      <c r="H20" s="7" t="s">
        <v>34</v>
      </c>
      <c r="I20" s="8"/>
      <c r="J20" s="8"/>
      <c r="K20" s="9"/>
      <c r="L20" s="8" t="s">
        <v>45</v>
      </c>
      <c r="M20" s="8"/>
    </row>
    <row r="21" customFormat="false" ht="35.05" hidden="false" customHeight="false" outlineLevel="0" collapsed="false">
      <c r="A21" s="5" t="s">
        <v>140</v>
      </c>
      <c r="B21" s="6" t="s">
        <v>70</v>
      </c>
      <c r="C21" s="6" t="s">
        <v>109</v>
      </c>
      <c r="D21" s="6" t="s">
        <v>141</v>
      </c>
      <c r="E21" s="6" t="s">
        <v>142</v>
      </c>
      <c r="F21" s="6" t="s">
        <v>143</v>
      </c>
      <c r="G21" s="6" t="s">
        <v>144</v>
      </c>
      <c r="H21" s="6" t="s">
        <v>63</v>
      </c>
      <c r="I21" s="8"/>
      <c r="J21" s="8"/>
      <c r="K21" s="9"/>
      <c r="L21" s="8" t="s">
        <v>45</v>
      </c>
      <c r="M21" s="8"/>
    </row>
    <row r="22" customFormat="false" ht="23.85" hidden="false" customHeight="false" outlineLevel="0" collapsed="false">
      <c r="A22" s="5" t="s">
        <v>145</v>
      </c>
      <c r="B22" s="6" t="s">
        <v>70</v>
      </c>
      <c r="C22" s="6" t="s">
        <v>109</v>
      </c>
      <c r="D22" s="6" t="s">
        <v>146</v>
      </c>
      <c r="E22" s="6" t="s">
        <v>147</v>
      </c>
      <c r="F22" s="6" t="s">
        <v>148</v>
      </c>
      <c r="G22" s="6" t="s">
        <v>149</v>
      </c>
      <c r="H22" s="6" t="s">
        <v>86</v>
      </c>
      <c r="I22" s="8"/>
      <c r="J22" s="8"/>
      <c r="K22" s="9"/>
      <c r="L22" s="8" t="s">
        <v>45</v>
      </c>
      <c r="M22" s="8"/>
    </row>
    <row r="23" customFormat="false" ht="23.85" hidden="false" customHeight="false" outlineLevel="0" collapsed="false">
      <c r="A23" s="5" t="s">
        <v>150</v>
      </c>
      <c r="B23" s="6" t="s">
        <v>120</v>
      </c>
      <c r="C23" s="6" t="s">
        <v>109</v>
      </c>
      <c r="D23" s="6" t="s">
        <v>151</v>
      </c>
      <c r="E23" s="6" t="s">
        <v>152</v>
      </c>
      <c r="F23" s="6" t="s">
        <v>153</v>
      </c>
      <c r="G23" s="6" t="s">
        <v>154</v>
      </c>
      <c r="H23" s="6" t="s">
        <v>63</v>
      </c>
      <c r="I23" s="8"/>
      <c r="J23" s="8"/>
      <c r="K23" s="9"/>
      <c r="L23" s="8" t="s">
        <v>45</v>
      </c>
      <c r="M23" s="8"/>
    </row>
    <row r="24" customFormat="false" ht="15" hidden="false" customHeight="false" outlineLevel="0" collapsed="false">
      <c r="A24" s="5" t="s">
        <v>155</v>
      </c>
      <c r="B24" s="6" t="s">
        <v>70</v>
      </c>
      <c r="C24" s="6" t="s">
        <v>109</v>
      </c>
      <c r="D24" s="6" t="s">
        <v>156</v>
      </c>
      <c r="E24" s="6" t="s">
        <v>157</v>
      </c>
      <c r="F24" s="6" t="s">
        <v>158</v>
      </c>
      <c r="G24" s="6" t="s">
        <v>159</v>
      </c>
      <c r="H24" s="6" t="s">
        <v>63</v>
      </c>
      <c r="I24" s="8"/>
      <c r="J24" s="8"/>
      <c r="K24" s="9"/>
      <c r="L24" s="8" t="s">
        <v>45</v>
      </c>
      <c r="M24" s="8"/>
    </row>
    <row r="25" customFormat="false" ht="23.85" hidden="false" customHeight="false" outlineLevel="0" collapsed="false">
      <c r="A25" s="5" t="s">
        <v>160</v>
      </c>
      <c r="B25" s="6" t="s">
        <v>70</v>
      </c>
      <c r="C25" s="6" t="s">
        <v>109</v>
      </c>
      <c r="D25" s="6" t="s">
        <v>161</v>
      </c>
      <c r="E25" s="6" t="s">
        <v>162</v>
      </c>
      <c r="F25" s="6" t="s">
        <v>163</v>
      </c>
      <c r="G25" s="6" t="s">
        <v>164</v>
      </c>
      <c r="H25" s="6" t="s">
        <v>63</v>
      </c>
      <c r="I25" s="8"/>
      <c r="J25" s="8"/>
      <c r="K25" s="9"/>
      <c r="L25" s="8" t="s">
        <v>45</v>
      </c>
      <c r="M25" s="8"/>
    </row>
    <row r="26" customFormat="false" ht="23.85" hidden="false" customHeight="false" outlineLevel="0" collapsed="false">
      <c r="A26" s="5" t="s">
        <v>165</v>
      </c>
      <c r="B26" s="6" t="s">
        <v>166</v>
      </c>
      <c r="C26" s="6" t="s">
        <v>109</v>
      </c>
      <c r="D26" s="6" t="s">
        <v>167</v>
      </c>
      <c r="E26" s="6" t="s">
        <v>168</v>
      </c>
      <c r="F26" s="6" t="s">
        <v>169</v>
      </c>
      <c r="G26" s="6" t="s">
        <v>170</v>
      </c>
      <c r="H26" s="7" t="s">
        <v>34</v>
      </c>
      <c r="I26" s="8"/>
      <c r="J26" s="8"/>
      <c r="K26" s="9"/>
      <c r="L26" s="8" t="s">
        <v>45</v>
      </c>
      <c r="M26" s="8"/>
    </row>
    <row r="27" customFormat="false" ht="23.85" hidden="false" customHeight="false" outlineLevel="0" collapsed="false">
      <c r="A27" s="5" t="s">
        <v>171</v>
      </c>
      <c r="B27" s="6" t="s">
        <v>166</v>
      </c>
      <c r="C27" s="6" t="s">
        <v>109</v>
      </c>
      <c r="D27" s="6" t="s">
        <v>172</v>
      </c>
      <c r="E27" s="6" t="s">
        <v>173</v>
      </c>
      <c r="F27" s="6" t="s">
        <v>174</v>
      </c>
      <c r="G27" s="6" t="s">
        <v>175</v>
      </c>
      <c r="H27" s="6" t="s">
        <v>63</v>
      </c>
      <c r="I27" s="8"/>
      <c r="J27" s="8"/>
      <c r="K27" s="9"/>
      <c r="L27" s="8" t="s">
        <v>45</v>
      </c>
      <c r="M27" s="8"/>
    </row>
    <row r="28" customFormat="false" ht="15" hidden="false" customHeight="false" outlineLevel="0" collapsed="false">
      <c r="A28" s="5" t="s">
        <v>176</v>
      </c>
      <c r="B28" s="6" t="s">
        <v>70</v>
      </c>
      <c r="C28" s="6" t="s">
        <v>109</v>
      </c>
      <c r="D28" s="6" t="s">
        <v>177</v>
      </c>
      <c r="E28" s="6" t="s">
        <v>178</v>
      </c>
      <c r="F28" s="6" t="s">
        <v>179</v>
      </c>
      <c r="G28" s="6" t="s">
        <v>180</v>
      </c>
      <c r="H28" s="6" t="s">
        <v>86</v>
      </c>
      <c r="I28" s="8"/>
      <c r="J28" s="8"/>
      <c r="K28" s="9"/>
      <c r="L28" s="8" t="s">
        <v>45</v>
      </c>
      <c r="M28" s="8"/>
    </row>
    <row r="29" customFormat="false" ht="15" hidden="false" customHeight="false" outlineLevel="0" collapsed="false">
      <c r="A29" s="5" t="s">
        <v>181</v>
      </c>
      <c r="B29" s="6" t="s">
        <v>70</v>
      </c>
      <c r="C29" s="6" t="s">
        <v>109</v>
      </c>
      <c r="D29" s="6" t="s">
        <v>182</v>
      </c>
      <c r="E29" s="6" t="s">
        <v>183</v>
      </c>
      <c r="F29" s="6" t="s">
        <v>184</v>
      </c>
      <c r="G29" s="6" t="s">
        <v>185</v>
      </c>
      <c r="H29" s="6" t="s">
        <v>63</v>
      </c>
      <c r="I29" s="8"/>
      <c r="J29" s="8"/>
      <c r="K29" s="9"/>
      <c r="L29" s="8" t="s">
        <v>45</v>
      </c>
      <c r="M29" s="8"/>
    </row>
    <row r="30" customFormat="false" ht="15" hidden="false" customHeight="false" outlineLevel="0" collapsed="false">
      <c r="A30" s="5" t="s">
        <v>186</v>
      </c>
      <c r="B30" s="6" t="s">
        <v>120</v>
      </c>
      <c r="C30" s="6" t="s">
        <v>109</v>
      </c>
      <c r="D30" s="6" t="s">
        <v>187</v>
      </c>
      <c r="E30" s="6" t="s">
        <v>188</v>
      </c>
      <c r="F30" s="6" t="s">
        <v>189</v>
      </c>
      <c r="G30" s="6" t="s">
        <v>190</v>
      </c>
      <c r="H30" s="6" t="s">
        <v>63</v>
      </c>
      <c r="I30" s="8"/>
      <c r="J30" s="8"/>
      <c r="K30" s="9"/>
      <c r="L30" s="8" t="s">
        <v>45</v>
      </c>
      <c r="M30" s="8"/>
    </row>
    <row r="31" customFormat="false" ht="23.85" hidden="false" customHeight="false" outlineLevel="0" collapsed="false">
      <c r="A31" s="5" t="s">
        <v>191</v>
      </c>
      <c r="B31" s="6" t="s">
        <v>70</v>
      </c>
      <c r="C31" s="6" t="s">
        <v>109</v>
      </c>
      <c r="D31" s="6" t="s">
        <v>192</v>
      </c>
      <c r="E31" s="6" t="s">
        <v>183</v>
      </c>
      <c r="F31" s="6" t="s">
        <v>193</v>
      </c>
      <c r="G31" s="6" t="s">
        <v>194</v>
      </c>
      <c r="H31" s="6" t="s">
        <v>63</v>
      </c>
      <c r="I31" s="8"/>
      <c r="J31" s="8"/>
      <c r="K31" s="9"/>
      <c r="L31" s="8" t="s">
        <v>45</v>
      </c>
      <c r="M31" s="8"/>
    </row>
    <row r="32" customFormat="false" ht="23.85" hidden="false" customHeight="false" outlineLevel="0" collapsed="false">
      <c r="A32" s="5" t="s">
        <v>195</v>
      </c>
      <c r="B32" s="6" t="s">
        <v>88</v>
      </c>
      <c r="C32" s="6" t="s">
        <v>196</v>
      </c>
      <c r="D32" s="6" t="s">
        <v>197</v>
      </c>
      <c r="E32" s="6" t="s">
        <v>198</v>
      </c>
      <c r="F32" s="6" t="s">
        <v>199</v>
      </c>
      <c r="G32" s="6" t="s">
        <v>200</v>
      </c>
      <c r="H32" s="6" t="s">
        <v>63</v>
      </c>
      <c r="I32" s="8"/>
      <c r="J32" s="8"/>
      <c r="K32" s="9"/>
      <c r="L32" s="8" t="s">
        <v>45</v>
      </c>
      <c r="M32" s="8"/>
    </row>
    <row r="33" customFormat="false" ht="23.85" hidden="false" customHeight="false" outlineLevel="0" collapsed="false">
      <c r="A33" s="5" t="s">
        <v>201</v>
      </c>
      <c r="B33" s="6" t="s">
        <v>88</v>
      </c>
      <c r="C33" s="6" t="s">
        <v>196</v>
      </c>
      <c r="D33" s="6" t="s">
        <v>202</v>
      </c>
      <c r="E33" s="6" t="s">
        <v>195</v>
      </c>
      <c r="F33" s="6" t="s">
        <v>203</v>
      </c>
      <c r="G33" s="6" t="s">
        <v>204</v>
      </c>
      <c r="H33" s="6" t="s">
        <v>63</v>
      </c>
      <c r="I33" s="8"/>
      <c r="J33" s="8"/>
      <c r="K33" s="9"/>
      <c r="L33" s="8" t="s">
        <v>45</v>
      </c>
      <c r="M33" s="8"/>
    </row>
    <row r="34" customFormat="false" ht="23.85" hidden="false" customHeight="false" outlineLevel="0" collapsed="false">
      <c r="A34" s="5" t="s">
        <v>205</v>
      </c>
      <c r="B34" s="6" t="s">
        <v>88</v>
      </c>
      <c r="C34" s="6" t="s">
        <v>196</v>
      </c>
      <c r="D34" s="6" t="s">
        <v>206</v>
      </c>
      <c r="E34" s="6" t="s">
        <v>207</v>
      </c>
      <c r="F34" s="6" t="s">
        <v>208</v>
      </c>
      <c r="G34" s="6" t="s">
        <v>209</v>
      </c>
      <c r="H34" s="6" t="s">
        <v>63</v>
      </c>
      <c r="I34" s="8"/>
      <c r="J34" s="8"/>
      <c r="K34" s="9"/>
      <c r="L34" s="8" t="s">
        <v>45</v>
      </c>
      <c r="M34" s="8"/>
    </row>
    <row r="35" customFormat="false" ht="23.85" hidden="false" customHeight="false" outlineLevel="0" collapsed="false">
      <c r="A35" s="5" t="s">
        <v>210</v>
      </c>
      <c r="B35" s="6" t="s">
        <v>211</v>
      </c>
      <c r="C35" s="6" t="s">
        <v>196</v>
      </c>
      <c r="D35" s="6" t="s">
        <v>212</v>
      </c>
      <c r="E35" s="6" t="s">
        <v>213</v>
      </c>
      <c r="F35" s="6" t="s">
        <v>214</v>
      </c>
      <c r="G35" s="6" t="s">
        <v>215</v>
      </c>
      <c r="H35" s="6" t="s">
        <v>63</v>
      </c>
      <c r="I35" s="8"/>
      <c r="J35" s="8"/>
      <c r="K35" s="9"/>
      <c r="L35" s="8" t="s">
        <v>45</v>
      </c>
      <c r="M35" s="8"/>
    </row>
    <row r="36" customFormat="false" ht="23.85" hidden="false" customHeight="false" outlineLevel="0" collapsed="false">
      <c r="A36" s="5" t="s">
        <v>216</v>
      </c>
      <c r="B36" s="6" t="s">
        <v>217</v>
      </c>
      <c r="C36" s="6" t="s">
        <v>196</v>
      </c>
      <c r="D36" s="6" t="s">
        <v>218</v>
      </c>
      <c r="E36" s="6" t="s">
        <v>219</v>
      </c>
      <c r="F36" s="6" t="s">
        <v>220</v>
      </c>
      <c r="G36" s="6" t="s">
        <v>221</v>
      </c>
      <c r="H36" s="6" t="s">
        <v>86</v>
      </c>
      <c r="I36" s="8"/>
      <c r="J36" s="8"/>
      <c r="K36" s="9"/>
      <c r="L36" s="8" t="s">
        <v>45</v>
      </c>
      <c r="M36" s="8"/>
    </row>
    <row r="37" customFormat="false" ht="23.85" hidden="false" customHeight="false" outlineLevel="0" collapsed="false">
      <c r="A37" s="5" t="s">
        <v>222</v>
      </c>
      <c r="B37" s="6" t="s">
        <v>217</v>
      </c>
      <c r="C37" s="6" t="s">
        <v>196</v>
      </c>
      <c r="D37" s="6" t="s">
        <v>223</v>
      </c>
      <c r="E37" s="6" t="s">
        <v>58</v>
      </c>
      <c r="F37" s="6" t="s">
        <v>224</v>
      </c>
      <c r="G37" s="6" t="s">
        <v>225</v>
      </c>
      <c r="H37" s="6" t="s">
        <v>86</v>
      </c>
      <c r="I37" s="8"/>
      <c r="J37" s="8"/>
      <c r="K37" s="9"/>
      <c r="L37" s="8" t="s">
        <v>45</v>
      </c>
      <c r="M37" s="8"/>
    </row>
    <row r="38" customFormat="false" ht="23.85" hidden="false" customHeight="false" outlineLevel="0" collapsed="false">
      <c r="A38" s="5" t="s">
        <v>226</v>
      </c>
      <c r="B38" s="6" t="s">
        <v>88</v>
      </c>
      <c r="C38" s="6" t="s">
        <v>227</v>
      </c>
      <c r="D38" s="6" t="s">
        <v>228</v>
      </c>
      <c r="E38" s="6" t="s">
        <v>229</v>
      </c>
      <c r="F38" s="6" t="s">
        <v>230</v>
      </c>
      <c r="G38" s="6" t="s">
        <v>231</v>
      </c>
      <c r="H38" s="7" t="s">
        <v>34</v>
      </c>
      <c r="I38" s="8"/>
      <c r="J38" s="8"/>
      <c r="K38" s="9"/>
      <c r="L38" s="8" t="s">
        <v>45</v>
      </c>
      <c r="M38" s="8"/>
    </row>
    <row r="39" customFormat="false" ht="35.05" hidden="false" customHeight="false" outlineLevel="0" collapsed="false">
      <c r="A39" s="5" t="s">
        <v>232</v>
      </c>
      <c r="B39" s="6" t="s">
        <v>88</v>
      </c>
      <c r="C39" s="6" t="s">
        <v>227</v>
      </c>
      <c r="D39" s="6" t="s">
        <v>233</v>
      </c>
      <c r="E39" s="6" t="s">
        <v>90</v>
      </c>
      <c r="F39" s="6" t="s">
        <v>234</v>
      </c>
      <c r="G39" s="6" t="s">
        <v>235</v>
      </c>
      <c r="H39" s="7" t="s">
        <v>34</v>
      </c>
      <c r="I39" s="8"/>
      <c r="J39" s="8"/>
      <c r="K39" s="9"/>
      <c r="L39" s="8" t="s">
        <v>45</v>
      </c>
      <c r="M39" s="8"/>
    </row>
    <row r="40" customFormat="false" ht="15" hidden="false" customHeight="false" outlineLevel="0" collapsed="false">
      <c r="A40" s="5" t="s">
        <v>236</v>
      </c>
      <c r="B40" s="6" t="s">
        <v>88</v>
      </c>
      <c r="C40" s="6" t="s">
        <v>227</v>
      </c>
      <c r="D40" s="6" t="s">
        <v>237</v>
      </c>
      <c r="E40" s="6" t="s">
        <v>238</v>
      </c>
      <c r="F40" s="6" t="s">
        <v>239</v>
      </c>
      <c r="G40" s="6" t="s">
        <v>240</v>
      </c>
      <c r="H40" s="6" t="s">
        <v>63</v>
      </c>
      <c r="I40" s="8"/>
      <c r="J40" s="8"/>
      <c r="K40" s="9"/>
      <c r="L40" s="8" t="s">
        <v>45</v>
      </c>
      <c r="M40" s="8"/>
    </row>
    <row r="41" customFormat="false" ht="23.85" hidden="false" customHeight="false" outlineLevel="0" collapsed="false">
      <c r="A41" s="5" t="s">
        <v>241</v>
      </c>
      <c r="B41" s="6" t="s">
        <v>88</v>
      </c>
      <c r="C41" s="6" t="s">
        <v>227</v>
      </c>
      <c r="D41" s="6" t="s">
        <v>242</v>
      </c>
      <c r="E41" s="6" t="s">
        <v>243</v>
      </c>
      <c r="F41" s="6" t="s">
        <v>244</v>
      </c>
      <c r="G41" s="6" t="s">
        <v>245</v>
      </c>
      <c r="H41" s="7" t="s">
        <v>34</v>
      </c>
      <c r="I41" s="8"/>
      <c r="J41" s="8"/>
      <c r="K41" s="9"/>
      <c r="L41" s="8" t="s">
        <v>45</v>
      </c>
      <c r="M41" s="8"/>
    </row>
    <row r="42" customFormat="false" ht="23.85" hidden="false" customHeight="false" outlineLevel="0" collapsed="false">
      <c r="A42" s="5" t="s">
        <v>246</v>
      </c>
      <c r="B42" s="6" t="s">
        <v>70</v>
      </c>
      <c r="C42" s="6" t="s">
        <v>227</v>
      </c>
      <c r="D42" s="6" t="s">
        <v>247</v>
      </c>
      <c r="E42" s="6" t="s">
        <v>248</v>
      </c>
      <c r="F42" s="6" t="s">
        <v>249</v>
      </c>
      <c r="G42" s="6" t="s">
        <v>250</v>
      </c>
      <c r="H42" s="7" t="s">
        <v>34</v>
      </c>
      <c r="I42" s="8"/>
      <c r="J42" s="8"/>
      <c r="K42" s="9"/>
      <c r="L42" s="8" t="s">
        <v>45</v>
      </c>
      <c r="M42" s="8"/>
    </row>
    <row r="43" customFormat="false" ht="23.85" hidden="false" customHeight="false" outlineLevel="0" collapsed="false">
      <c r="A43" s="5" t="s">
        <v>251</v>
      </c>
      <c r="B43" s="6" t="s">
        <v>70</v>
      </c>
      <c r="C43" s="6" t="s">
        <v>227</v>
      </c>
      <c r="D43" s="6" t="s">
        <v>252</v>
      </c>
      <c r="E43" s="6" t="s">
        <v>253</v>
      </c>
      <c r="F43" s="6" t="s">
        <v>254</v>
      </c>
      <c r="G43" s="6" t="s">
        <v>255</v>
      </c>
      <c r="H43" s="6" t="s">
        <v>63</v>
      </c>
      <c r="I43" s="8"/>
      <c r="J43" s="8"/>
      <c r="K43" s="9"/>
      <c r="L43" s="8" t="s">
        <v>45</v>
      </c>
      <c r="M43" s="8"/>
    </row>
    <row r="44" customFormat="false" ht="23.85" hidden="false" customHeight="false" outlineLevel="0" collapsed="false">
      <c r="A44" s="5" t="s">
        <v>256</v>
      </c>
      <c r="B44" s="6" t="s">
        <v>88</v>
      </c>
      <c r="C44" s="6" t="s">
        <v>227</v>
      </c>
      <c r="D44" s="6" t="s">
        <v>257</v>
      </c>
      <c r="E44" s="6" t="s">
        <v>258</v>
      </c>
      <c r="F44" s="6" t="s">
        <v>259</v>
      </c>
      <c r="G44" s="6" t="s">
        <v>260</v>
      </c>
      <c r="H44" s="6" t="s">
        <v>63</v>
      </c>
      <c r="I44" s="8"/>
      <c r="J44" s="8"/>
      <c r="K44" s="9"/>
      <c r="L44" s="8" t="s">
        <v>45</v>
      </c>
      <c r="M44" s="8"/>
    </row>
    <row r="45" customFormat="false" ht="23.85" hidden="false" customHeight="false" outlineLevel="0" collapsed="false">
      <c r="A45" s="5" t="s">
        <v>261</v>
      </c>
      <c r="B45" s="6" t="s">
        <v>88</v>
      </c>
      <c r="C45" s="6" t="s">
        <v>227</v>
      </c>
      <c r="D45" s="6" t="s">
        <v>262</v>
      </c>
      <c r="E45" s="6" t="s">
        <v>238</v>
      </c>
      <c r="F45" s="6" t="s">
        <v>263</v>
      </c>
      <c r="G45" s="6" t="s">
        <v>264</v>
      </c>
      <c r="H45" s="7" t="s">
        <v>34</v>
      </c>
      <c r="I45" s="8"/>
      <c r="J45" s="8"/>
      <c r="K45" s="9"/>
      <c r="L45" s="8" t="s">
        <v>45</v>
      </c>
      <c r="M45" s="8"/>
    </row>
    <row r="46" customFormat="false" ht="15" hidden="false" customHeight="false" outlineLevel="0" collapsed="false">
      <c r="A46" s="5" t="s">
        <v>265</v>
      </c>
      <c r="B46" s="6" t="s">
        <v>88</v>
      </c>
      <c r="C46" s="6" t="s">
        <v>227</v>
      </c>
      <c r="D46" s="6" t="s">
        <v>266</v>
      </c>
      <c r="E46" s="6" t="s">
        <v>267</v>
      </c>
      <c r="F46" s="6" t="s">
        <v>268</v>
      </c>
      <c r="G46" s="6" t="s">
        <v>269</v>
      </c>
      <c r="H46" s="6" t="s">
        <v>63</v>
      </c>
      <c r="I46" s="8"/>
      <c r="J46" s="8"/>
      <c r="K46" s="9"/>
      <c r="L46" s="8" t="s">
        <v>45</v>
      </c>
      <c r="M46" s="8"/>
    </row>
    <row r="47" customFormat="false" ht="15" hidden="false" customHeight="false" outlineLevel="0" collapsed="false">
      <c r="A47" s="5" t="s">
        <v>270</v>
      </c>
      <c r="B47" s="6" t="s">
        <v>70</v>
      </c>
      <c r="C47" s="6" t="s">
        <v>227</v>
      </c>
      <c r="D47" s="6" t="s">
        <v>271</v>
      </c>
      <c r="E47" s="6" t="s">
        <v>272</v>
      </c>
      <c r="F47" s="6" t="s">
        <v>273</v>
      </c>
      <c r="G47" s="6" t="s">
        <v>274</v>
      </c>
      <c r="H47" s="6" t="s">
        <v>86</v>
      </c>
      <c r="I47" s="8"/>
      <c r="J47" s="8"/>
      <c r="K47" s="9"/>
      <c r="L47" s="8" t="s">
        <v>45</v>
      </c>
      <c r="M47" s="8"/>
    </row>
    <row r="48" customFormat="false" ht="15" hidden="false" customHeight="false" outlineLevel="0" collapsed="false">
      <c r="A48" s="5" t="s">
        <v>275</v>
      </c>
      <c r="B48" s="6" t="s">
        <v>70</v>
      </c>
      <c r="C48" s="6" t="s">
        <v>227</v>
      </c>
      <c r="D48" s="6" t="s">
        <v>276</v>
      </c>
      <c r="E48" s="6" t="s">
        <v>277</v>
      </c>
      <c r="F48" s="6" t="s">
        <v>278</v>
      </c>
      <c r="G48" s="6" t="s">
        <v>279</v>
      </c>
      <c r="H48" s="6" t="s">
        <v>86</v>
      </c>
      <c r="I48" s="8"/>
      <c r="J48" s="8"/>
      <c r="K48" s="9"/>
      <c r="L48" s="8" t="s">
        <v>45</v>
      </c>
      <c r="M48" s="8"/>
    </row>
    <row r="49" customFormat="false" ht="15" hidden="false" customHeight="false" outlineLevel="0" collapsed="false">
      <c r="A49" s="5" t="s">
        <v>280</v>
      </c>
      <c r="B49" s="6" t="s">
        <v>88</v>
      </c>
      <c r="C49" s="6" t="s">
        <v>227</v>
      </c>
      <c r="D49" s="6" t="s">
        <v>281</v>
      </c>
      <c r="E49" s="6" t="s">
        <v>282</v>
      </c>
      <c r="F49" s="6" t="s">
        <v>283</v>
      </c>
      <c r="G49" s="6" t="s">
        <v>284</v>
      </c>
      <c r="H49" s="7" t="s">
        <v>34</v>
      </c>
      <c r="I49" s="8"/>
      <c r="J49" s="8"/>
      <c r="K49" s="9"/>
      <c r="L49" s="8" t="s">
        <v>45</v>
      </c>
      <c r="M49" s="8"/>
    </row>
    <row r="50" customFormat="false" ht="23.85" hidden="false" customHeight="false" outlineLevel="0" collapsed="false">
      <c r="A50" s="5" t="s">
        <v>285</v>
      </c>
      <c r="B50" s="6" t="s">
        <v>70</v>
      </c>
      <c r="C50" s="6" t="s">
        <v>286</v>
      </c>
      <c r="D50" s="6" t="s">
        <v>287</v>
      </c>
      <c r="E50" s="6" t="s">
        <v>288</v>
      </c>
      <c r="F50" s="6" t="s">
        <v>289</v>
      </c>
      <c r="G50" s="6" t="s">
        <v>290</v>
      </c>
      <c r="H50" s="7" t="s">
        <v>34</v>
      </c>
      <c r="I50" s="8"/>
      <c r="J50" s="8"/>
      <c r="K50" s="9"/>
      <c r="L50" s="8" t="s">
        <v>45</v>
      </c>
      <c r="M50" s="8"/>
    </row>
    <row r="51" customFormat="false" ht="15" hidden="false" customHeight="false" outlineLevel="0" collapsed="false">
      <c r="A51" s="5" t="s">
        <v>291</v>
      </c>
      <c r="B51" s="6" t="s">
        <v>70</v>
      </c>
      <c r="C51" s="6" t="s">
        <v>286</v>
      </c>
      <c r="D51" s="6" t="s">
        <v>292</v>
      </c>
      <c r="E51" s="6" t="s">
        <v>293</v>
      </c>
      <c r="F51" s="6" t="s">
        <v>294</v>
      </c>
      <c r="G51" s="6" t="s">
        <v>295</v>
      </c>
      <c r="H51" s="6" t="s">
        <v>63</v>
      </c>
      <c r="I51" s="8"/>
      <c r="J51" s="8"/>
      <c r="K51" s="9"/>
      <c r="L51" s="8" t="s">
        <v>45</v>
      </c>
      <c r="M51" s="8"/>
    </row>
    <row r="52" customFormat="false" ht="23.85" hidden="false" customHeight="false" outlineLevel="0" collapsed="false">
      <c r="A52" s="5" t="s">
        <v>296</v>
      </c>
      <c r="B52" s="6" t="s">
        <v>297</v>
      </c>
      <c r="C52" s="6" t="s">
        <v>286</v>
      </c>
      <c r="D52" s="6" t="s">
        <v>298</v>
      </c>
      <c r="E52" s="6" t="s">
        <v>299</v>
      </c>
      <c r="F52" s="6" t="s">
        <v>300</v>
      </c>
      <c r="G52" s="6" t="s">
        <v>301</v>
      </c>
      <c r="H52" s="7" t="s">
        <v>34</v>
      </c>
      <c r="I52" s="8"/>
      <c r="J52" s="8"/>
      <c r="K52" s="9"/>
      <c r="L52" s="8" t="s">
        <v>45</v>
      </c>
      <c r="M52" s="8"/>
    </row>
    <row r="53" customFormat="false" ht="15" hidden="false" customHeight="false" outlineLevel="0" collapsed="false">
      <c r="A53" s="5" t="s">
        <v>302</v>
      </c>
      <c r="B53" s="6" t="s">
        <v>297</v>
      </c>
      <c r="C53" s="6" t="s">
        <v>286</v>
      </c>
      <c r="D53" s="6" t="s">
        <v>303</v>
      </c>
      <c r="E53" s="6" t="s">
        <v>304</v>
      </c>
      <c r="F53" s="6" t="s">
        <v>305</v>
      </c>
      <c r="G53" s="6" t="s">
        <v>306</v>
      </c>
      <c r="H53" s="7" t="s">
        <v>34</v>
      </c>
      <c r="I53" s="8"/>
      <c r="J53" s="8"/>
      <c r="K53" s="9"/>
      <c r="L53" s="8" t="s">
        <v>45</v>
      </c>
      <c r="M53" s="8"/>
    </row>
    <row r="54" customFormat="false" ht="23.85" hidden="false" customHeight="false" outlineLevel="0" collapsed="false">
      <c r="A54" s="5" t="s">
        <v>307</v>
      </c>
      <c r="B54" s="6" t="s">
        <v>297</v>
      </c>
      <c r="C54" s="6" t="s">
        <v>286</v>
      </c>
      <c r="D54" s="6" t="s">
        <v>308</v>
      </c>
      <c r="E54" s="6" t="s">
        <v>309</v>
      </c>
      <c r="F54" s="6" t="s">
        <v>310</v>
      </c>
      <c r="G54" s="6" t="s">
        <v>311</v>
      </c>
      <c r="H54" s="7" t="s">
        <v>34</v>
      </c>
      <c r="I54" s="8"/>
      <c r="J54" s="8"/>
      <c r="K54" s="9"/>
      <c r="L54" s="8" t="s">
        <v>45</v>
      </c>
      <c r="M54" s="8"/>
    </row>
    <row r="55" customFormat="false" ht="23.85" hidden="false" customHeight="false" outlineLevel="0" collapsed="false">
      <c r="A55" s="5" t="s">
        <v>312</v>
      </c>
      <c r="B55" s="6" t="s">
        <v>70</v>
      </c>
      <c r="C55" s="6" t="s">
        <v>286</v>
      </c>
      <c r="D55" s="6" t="s">
        <v>313</v>
      </c>
      <c r="E55" s="6" t="s">
        <v>314</v>
      </c>
      <c r="F55" s="6" t="s">
        <v>315</v>
      </c>
      <c r="G55" s="6" t="s">
        <v>316</v>
      </c>
      <c r="H55" s="7" t="s">
        <v>34</v>
      </c>
      <c r="I55" s="8"/>
      <c r="J55" s="8"/>
      <c r="K55" s="9"/>
      <c r="L55" s="8" t="s">
        <v>45</v>
      </c>
      <c r="M55" s="8"/>
    </row>
    <row r="56" customFormat="false" ht="23.85" hidden="false" customHeight="false" outlineLevel="0" collapsed="false">
      <c r="A56" s="5" t="s">
        <v>317</v>
      </c>
      <c r="B56" s="6" t="s">
        <v>297</v>
      </c>
      <c r="C56" s="6" t="s">
        <v>286</v>
      </c>
      <c r="D56" s="6" t="s">
        <v>318</v>
      </c>
      <c r="E56" s="6" t="s">
        <v>319</v>
      </c>
      <c r="F56" s="6" t="s">
        <v>320</v>
      </c>
      <c r="G56" s="6" t="s">
        <v>321</v>
      </c>
      <c r="H56" s="6" t="s">
        <v>63</v>
      </c>
      <c r="I56" s="8"/>
      <c r="J56" s="8"/>
      <c r="K56" s="9"/>
      <c r="L56" s="8" t="s">
        <v>45</v>
      </c>
      <c r="M56" s="8"/>
    </row>
    <row r="57" customFormat="false" ht="23.85" hidden="false" customHeight="false" outlineLevel="0" collapsed="false">
      <c r="A57" s="5" t="s">
        <v>322</v>
      </c>
      <c r="B57" s="6" t="s">
        <v>297</v>
      </c>
      <c r="C57" s="6" t="s">
        <v>286</v>
      </c>
      <c r="D57" s="6" t="s">
        <v>323</v>
      </c>
      <c r="E57" s="6" t="s">
        <v>324</v>
      </c>
      <c r="F57" s="6" t="s">
        <v>325</v>
      </c>
      <c r="G57" s="6" t="s">
        <v>326</v>
      </c>
      <c r="H57" s="6" t="s">
        <v>86</v>
      </c>
      <c r="I57" s="8"/>
      <c r="J57" s="8"/>
      <c r="K57" s="9"/>
      <c r="L57" s="8" t="s">
        <v>45</v>
      </c>
      <c r="M57" s="8"/>
    </row>
    <row r="58" customFormat="false" ht="15" hidden="false" customHeight="false" outlineLevel="0" collapsed="false">
      <c r="A58" s="5" t="s">
        <v>327</v>
      </c>
      <c r="B58" s="6" t="s">
        <v>297</v>
      </c>
      <c r="C58" s="6" t="s">
        <v>286</v>
      </c>
      <c r="D58" s="6" t="s">
        <v>328</v>
      </c>
      <c r="E58" s="6" t="s">
        <v>329</v>
      </c>
      <c r="F58" s="6" t="s">
        <v>330</v>
      </c>
      <c r="G58" s="6" t="s">
        <v>331</v>
      </c>
      <c r="H58" s="6" t="s">
        <v>63</v>
      </c>
      <c r="I58" s="8"/>
      <c r="J58" s="8"/>
      <c r="K58" s="9"/>
      <c r="L58" s="8" t="s">
        <v>45</v>
      </c>
      <c r="M58" s="8"/>
    </row>
    <row r="59" customFormat="false" ht="23.85" hidden="false" customHeight="false" outlineLevel="0" collapsed="false">
      <c r="A59" s="5" t="s">
        <v>332</v>
      </c>
      <c r="B59" s="6" t="s">
        <v>70</v>
      </c>
      <c r="C59" s="6" t="s">
        <v>286</v>
      </c>
      <c r="D59" s="6" t="s">
        <v>333</v>
      </c>
      <c r="E59" s="6" t="s">
        <v>334</v>
      </c>
      <c r="F59" s="6" t="s">
        <v>335</v>
      </c>
      <c r="G59" s="6" t="s">
        <v>336</v>
      </c>
      <c r="H59" s="6" t="s">
        <v>86</v>
      </c>
      <c r="I59" s="8"/>
      <c r="J59" s="8"/>
      <c r="K59" s="9"/>
      <c r="L59" s="8" t="s">
        <v>45</v>
      </c>
      <c r="M59" s="8"/>
    </row>
    <row r="60" customFormat="false" ht="15" hidden="false" customHeight="false" outlineLevel="0" collapsed="false">
      <c r="A60" s="5" t="s">
        <v>337</v>
      </c>
      <c r="B60" s="6" t="s">
        <v>297</v>
      </c>
      <c r="C60" s="6" t="s">
        <v>286</v>
      </c>
      <c r="D60" s="6" t="s">
        <v>338</v>
      </c>
      <c r="E60" s="6" t="s">
        <v>304</v>
      </c>
      <c r="F60" s="6" t="s">
        <v>339</v>
      </c>
      <c r="G60" s="6" t="s">
        <v>340</v>
      </c>
      <c r="H60" s="6" t="s">
        <v>63</v>
      </c>
      <c r="I60" s="8"/>
      <c r="J60" s="8"/>
      <c r="K60" s="9"/>
      <c r="L60" s="8" t="s">
        <v>45</v>
      </c>
      <c r="M60" s="8"/>
    </row>
    <row r="61" customFormat="false" ht="15" hidden="false" customHeight="false" outlineLevel="0" collapsed="false">
      <c r="A61" s="5" t="s">
        <v>341</v>
      </c>
      <c r="B61" s="6" t="s">
        <v>297</v>
      </c>
      <c r="C61" s="6" t="s">
        <v>286</v>
      </c>
      <c r="D61" s="6" t="s">
        <v>342</v>
      </c>
      <c r="E61" s="6" t="s">
        <v>304</v>
      </c>
      <c r="F61" s="6" t="s">
        <v>343</v>
      </c>
      <c r="G61" s="6" t="s">
        <v>344</v>
      </c>
      <c r="H61" s="6" t="s">
        <v>63</v>
      </c>
      <c r="I61" s="8"/>
      <c r="J61" s="8"/>
      <c r="K61" s="9"/>
      <c r="L61" s="8" t="s">
        <v>45</v>
      </c>
      <c r="M61" s="8"/>
    </row>
    <row r="62" customFormat="false" ht="15" hidden="false" customHeight="false" outlineLevel="0" collapsed="false">
      <c r="A62" s="5" t="s">
        <v>345</v>
      </c>
      <c r="B62" s="6" t="s">
        <v>297</v>
      </c>
      <c r="C62" s="6" t="s">
        <v>286</v>
      </c>
      <c r="D62" s="6" t="s">
        <v>346</v>
      </c>
      <c r="E62" s="6" t="s">
        <v>347</v>
      </c>
      <c r="F62" s="6" t="s">
        <v>259</v>
      </c>
      <c r="G62" s="6" t="s">
        <v>348</v>
      </c>
      <c r="H62" s="6" t="s">
        <v>63</v>
      </c>
      <c r="I62" s="8"/>
      <c r="J62" s="8"/>
      <c r="K62" s="9"/>
      <c r="L62" s="8" t="s">
        <v>45</v>
      </c>
      <c r="M62" s="8"/>
    </row>
    <row r="63" customFormat="false" ht="23.85" hidden="false" customHeight="false" outlineLevel="0" collapsed="false">
      <c r="A63" s="5" t="s">
        <v>349</v>
      </c>
      <c r="B63" s="6" t="s">
        <v>70</v>
      </c>
      <c r="C63" s="6" t="s">
        <v>286</v>
      </c>
      <c r="D63" s="6" t="s">
        <v>350</v>
      </c>
      <c r="E63" s="6" t="s">
        <v>351</v>
      </c>
      <c r="F63" s="6" t="s">
        <v>352</v>
      </c>
      <c r="G63" s="6" t="s">
        <v>353</v>
      </c>
      <c r="H63" s="6" t="s">
        <v>86</v>
      </c>
      <c r="I63" s="8"/>
      <c r="J63" s="8"/>
      <c r="K63" s="9"/>
      <c r="L63" s="8" t="s">
        <v>45</v>
      </c>
      <c r="M63" s="8"/>
    </row>
    <row r="64" customFormat="false" ht="23.85" hidden="false" customHeight="false" outlineLevel="0" collapsed="false">
      <c r="A64" s="5" t="s">
        <v>354</v>
      </c>
      <c r="B64" s="6" t="s">
        <v>297</v>
      </c>
      <c r="C64" s="6" t="s">
        <v>286</v>
      </c>
      <c r="D64" s="6" t="s">
        <v>355</v>
      </c>
      <c r="E64" s="6" t="s">
        <v>356</v>
      </c>
      <c r="F64" s="6" t="s">
        <v>357</v>
      </c>
      <c r="G64" s="6" t="s">
        <v>358</v>
      </c>
      <c r="H64" s="6" t="s">
        <v>63</v>
      </c>
      <c r="I64" s="8"/>
      <c r="J64" s="8"/>
      <c r="K64" s="9"/>
      <c r="L64" s="8" t="s">
        <v>45</v>
      </c>
      <c r="M64" s="8"/>
    </row>
    <row r="65" customFormat="false" ht="23.85" hidden="false" customHeight="false" outlineLevel="0" collapsed="false">
      <c r="A65" s="5" t="s">
        <v>359</v>
      </c>
      <c r="B65" s="6" t="s">
        <v>360</v>
      </c>
      <c r="C65" s="6" t="s">
        <v>361</v>
      </c>
      <c r="D65" s="6" t="s">
        <v>362</v>
      </c>
      <c r="E65" s="6" t="s">
        <v>363</v>
      </c>
      <c r="F65" s="6" t="s">
        <v>364</v>
      </c>
      <c r="G65" s="6" t="s">
        <v>365</v>
      </c>
      <c r="H65" s="6" t="s">
        <v>63</v>
      </c>
      <c r="I65" s="8"/>
      <c r="J65" s="8"/>
      <c r="K65" s="9"/>
      <c r="L65" s="8" t="s">
        <v>45</v>
      </c>
      <c r="M65" s="8"/>
    </row>
    <row r="66" customFormat="false" ht="23.85" hidden="false" customHeight="false" outlineLevel="0" collapsed="false">
      <c r="A66" s="5" t="s">
        <v>366</v>
      </c>
      <c r="B66" s="6" t="s">
        <v>360</v>
      </c>
      <c r="C66" s="6" t="s">
        <v>361</v>
      </c>
      <c r="D66" s="6" t="s">
        <v>367</v>
      </c>
      <c r="E66" s="6" t="s">
        <v>368</v>
      </c>
      <c r="F66" s="6" t="s">
        <v>369</v>
      </c>
      <c r="G66" s="6" t="s">
        <v>370</v>
      </c>
      <c r="H66" s="6" t="s">
        <v>63</v>
      </c>
      <c r="I66" s="8"/>
      <c r="J66" s="8"/>
      <c r="K66" s="9"/>
      <c r="L66" s="8" t="s">
        <v>45</v>
      </c>
      <c r="M66" s="8"/>
    </row>
    <row r="67" customFormat="false" ht="23.85" hidden="false" customHeight="false" outlineLevel="0" collapsed="false">
      <c r="A67" s="5" t="s">
        <v>371</v>
      </c>
      <c r="B67" s="6" t="s">
        <v>360</v>
      </c>
      <c r="C67" s="6" t="s">
        <v>361</v>
      </c>
      <c r="D67" s="6" t="s">
        <v>372</v>
      </c>
      <c r="E67" s="6" t="s">
        <v>183</v>
      </c>
      <c r="F67" s="6" t="s">
        <v>373</v>
      </c>
      <c r="G67" s="6" t="s">
        <v>374</v>
      </c>
      <c r="H67" s="6" t="s">
        <v>86</v>
      </c>
      <c r="I67" s="8"/>
      <c r="J67" s="8"/>
      <c r="K67" s="9"/>
      <c r="L67" s="8" t="s">
        <v>45</v>
      </c>
      <c r="M67" s="8"/>
    </row>
    <row r="68" customFormat="false" ht="23.85" hidden="false" customHeight="false" outlineLevel="0" collapsed="false">
      <c r="A68" s="5" t="s">
        <v>375</v>
      </c>
      <c r="B68" s="6" t="s">
        <v>88</v>
      </c>
      <c r="C68" s="6" t="s">
        <v>361</v>
      </c>
      <c r="D68" s="6" t="s">
        <v>376</v>
      </c>
      <c r="E68" s="6" t="s">
        <v>377</v>
      </c>
      <c r="F68" s="6" t="s">
        <v>378</v>
      </c>
      <c r="G68" s="6" t="s">
        <v>379</v>
      </c>
      <c r="H68" s="6" t="s">
        <v>63</v>
      </c>
      <c r="I68" s="8"/>
      <c r="J68" s="8"/>
      <c r="K68" s="9"/>
      <c r="L68" s="8" t="s">
        <v>45</v>
      </c>
      <c r="M68" s="8"/>
    </row>
    <row r="69" customFormat="false" ht="23.85" hidden="false" customHeight="false" outlineLevel="0" collapsed="false">
      <c r="A69" s="5" t="s">
        <v>380</v>
      </c>
      <c r="B69" s="6" t="s">
        <v>88</v>
      </c>
      <c r="C69" s="6" t="s">
        <v>361</v>
      </c>
      <c r="D69" s="6" t="s">
        <v>381</v>
      </c>
      <c r="E69" s="6" t="s">
        <v>183</v>
      </c>
      <c r="F69" s="6" t="s">
        <v>382</v>
      </c>
      <c r="G69" s="6" t="s">
        <v>383</v>
      </c>
      <c r="H69" s="6" t="s">
        <v>63</v>
      </c>
      <c r="I69" s="8"/>
      <c r="J69" s="8"/>
      <c r="K69" s="9"/>
      <c r="L69" s="8" t="s">
        <v>45</v>
      </c>
      <c r="M69" s="8"/>
    </row>
    <row r="70" customFormat="false" ht="23.85" hidden="false" customHeight="false" outlineLevel="0" collapsed="false">
      <c r="A70" s="5" t="s">
        <v>384</v>
      </c>
      <c r="B70" s="6" t="s">
        <v>88</v>
      </c>
      <c r="C70" s="6" t="s">
        <v>385</v>
      </c>
      <c r="D70" s="6" t="s">
        <v>386</v>
      </c>
      <c r="E70" s="6" t="s">
        <v>229</v>
      </c>
      <c r="F70" s="6" t="s">
        <v>387</v>
      </c>
      <c r="G70" s="6" t="s">
        <v>388</v>
      </c>
      <c r="H70" s="6" t="s">
        <v>63</v>
      </c>
      <c r="I70" s="8"/>
      <c r="J70" s="8"/>
      <c r="K70" s="9"/>
      <c r="L70" s="8" t="s">
        <v>45</v>
      </c>
      <c r="M70" s="8"/>
    </row>
    <row r="71" customFormat="false" ht="23.85" hidden="false" customHeight="false" outlineLevel="0" collapsed="false">
      <c r="A71" s="5" t="s">
        <v>389</v>
      </c>
      <c r="B71" s="6" t="s">
        <v>88</v>
      </c>
      <c r="C71" s="6" t="s">
        <v>385</v>
      </c>
      <c r="D71" s="6" t="s">
        <v>390</v>
      </c>
      <c r="E71" s="6" t="s">
        <v>391</v>
      </c>
      <c r="F71" s="6" t="s">
        <v>392</v>
      </c>
      <c r="G71" s="6" t="s">
        <v>393</v>
      </c>
      <c r="H71" s="6" t="s">
        <v>63</v>
      </c>
      <c r="I71" s="8"/>
      <c r="J71" s="8"/>
      <c r="K71" s="9"/>
      <c r="L71" s="8" t="s">
        <v>45</v>
      </c>
      <c r="M71" s="8"/>
    </row>
    <row r="72" customFormat="false" ht="23.85" hidden="false" customHeight="false" outlineLevel="0" collapsed="false">
      <c r="A72" s="5" t="s">
        <v>394</v>
      </c>
      <c r="B72" s="6" t="s">
        <v>211</v>
      </c>
      <c r="C72" s="6" t="s">
        <v>385</v>
      </c>
      <c r="D72" s="6" t="s">
        <v>395</v>
      </c>
      <c r="E72" s="6" t="s">
        <v>377</v>
      </c>
      <c r="F72" s="6" t="s">
        <v>396</v>
      </c>
      <c r="G72" s="6" t="s">
        <v>397</v>
      </c>
      <c r="H72" s="6" t="s">
        <v>63</v>
      </c>
      <c r="I72" s="8"/>
      <c r="J72" s="8"/>
      <c r="K72" s="9"/>
      <c r="L72" s="8" t="s">
        <v>45</v>
      </c>
      <c r="M72" s="8"/>
    </row>
    <row r="73" customFormat="false" ht="23.85" hidden="false" customHeight="false" outlineLevel="0" collapsed="false">
      <c r="A73" s="5" t="s">
        <v>398</v>
      </c>
      <c r="B73" s="6" t="s">
        <v>70</v>
      </c>
      <c r="C73" s="6" t="s">
        <v>385</v>
      </c>
      <c r="D73" s="6" t="s">
        <v>399</v>
      </c>
      <c r="E73" s="6" t="s">
        <v>400</v>
      </c>
      <c r="F73" s="6" t="s">
        <v>401</v>
      </c>
      <c r="G73" s="6" t="s">
        <v>402</v>
      </c>
      <c r="H73" s="7" t="s">
        <v>34</v>
      </c>
      <c r="I73" s="8"/>
      <c r="J73" s="8"/>
      <c r="K73" s="9"/>
      <c r="L73" s="8" t="s">
        <v>45</v>
      </c>
      <c r="M73" s="8"/>
    </row>
    <row r="74" customFormat="false" ht="23.85" hidden="false" customHeight="false" outlineLevel="0" collapsed="false">
      <c r="A74" s="5" t="s">
        <v>403</v>
      </c>
      <c r="B74" s="6" t="s">
        <v>28</v>
      </c>
      <c r="C74" s="6" t="s">
        <v>385</v>
      </c>
      <c r="D74" s="6" t="s">
        <v>404</v>
      </c>
      <c r="E74" s="6" t="s">
        <v>405</v>
      </c>
      <c r="F74" s="6" t="s">
        <v>406</v>
      </c>
      <c r="G74" s="6" t="s">
        <v>407</v>
      </c>
      <c r="H74" s="6" t="s">
        <v>63</v>
      </c>
      <c r="I74" s="8"/>
      <c r="J74" s="8"/>
      <c r="K74" s="9"/>
      <c r="L74" s="8" t="s">
        <v>45</v>
      </c>
      <c r="M74" s="8"/>
    </row>
    <row r="75" customFormat="false" ht="23.85" hidden="false" customHeight="false" outlineLevel="0" collapsed="false">
      <c r="A75" s="5" t="s">
        <v>408</v>
      </c>
      <c r="B75" s="6" t="s">
        <v>166</v>
      </c>
      <c r="C75" s="6" t="s">
        <v>385</v>
      </c>
      <c r="D75" s="6" t="s">
        <v>409</v>
      </c>
      <c r="E75" s="6" t="s">
        <v>410</v>
      </c>
      <c r="F75" s="6" t="s">
        <v>411</v>
      </c>
      <c r="G75" s="6" t="s">
        <v>412</v>
      </c>
      <c r="H75" s="6" t="s">
        <v>63</v>
      </c>
      <c r="I75" s="8"/>
      <c r="J75" s="8"/>
      <c r="K75" s="9"/>
      <c r="L75" s="8" t="s">
        <v>45</v>
      </c>
      <c r="M75" s="8"/>
    </row>
    <row r="76" customFormat="false" ht="23.85" hidden="false" customHeight="false" outlineLevel="0" collapsed="false">
      <c r="A76" s="5" t="s">
        <v>413</v>
      </c>
      <c r="B76" s="6" t="s">
        <v>28</v>
      </c>
      <c r="C76" s="6" t="s">
        <v>414</v>
      </c>
      <c r="D76" s="6" t="s">
        <v>415</v>
      </c>
      <c r="E76" s="6" t="s">
        <v>416</v>
      </c>
      <c r="F76" s="6" t="s">
        <v>417</v>
      </c>
      <c r="G76" s="6" t="s">
        <v>418</v>
      </c>
      <c r="H76" s="6" t="s">
        <v>63</v>
      </c>
      <c r="I76" s="8"/>
      <c r="J76" s="8"/>
      <c r="K76" s="9"/>
      <c r="L76" s="8" t="s">
        <v>45</v>
      </c>
      <c r="M76" s="8"/>
    </row>
    <row r="77" customFormat="false" ht="23.85" hidden="false" customHeight="false" outlineLevel="0" collapsed="false">
      <c r="A77" s="5" t="s">
        <v>419</v>
      </c>
      <c r="B77" s="6" t="s">
        <v>28</v>
      </c>
      <c r="C77" s="6" t="s">
        <v>414</v>
      </c>
      <c r="D77" s="6" t="s">
        <v>420</v>
      </c>
      <c r="E77" s="6" t="s">
        <v>421</v>
      </c>
      <c r="F77" s="6" t="s">
        <v>422</v>
      </c>
      <c r="G77" s="6" t="s">
        <v>423</v>
      </c>
      <c r="H77" s="6" t="s">
        <v>63</v>
      </c>
      <c r="I77" s="8"/>
      <c r="J77" s="8"/>
      <c r="K77" s="9"/>
      <c r="L77" s="8" t="s">
        <v>45</v>
      </c>
      <c r="M77" s="8"/>
    </row>
    <row r="78" customFormat="false" ht="23.85" hidden="false" customHeight="false" outlineLevel="0" collapsed="false">
      <c r="A78" s="5" t="s">
        <v>424</v>
      </c>
      <c r="B78" s="6" t="s">
        <v>28</v>
      </c>
      <c r="C78" s="6" t="s">
        <v>414</v>
      </c>
      <c r="D78" s="6" t="s">
        <v>425</v>
      </c>
      <c r="E78" s="6" t="s">
        <v>183</v>
      </c>
      <c r="F78" s="6" t="s">
        <v>426</v>
      </c>
      <c r="G78" s="6" t="s">
        <v>427</v>
      </c>
      <c r="H78" s="6" t="s">
        <v>86</v>
      </c>
      <c r="I78" s="8"/>
      <c r="J78" s="8"/>
      <c r="K78" s="9"/>
      <c r="L78" s="8" t="s">
        <v>45</v>
      </c>
      <c r="M78" s="8"/>
    </row>
    <row r="79" customFormat="false" ht="23.85" hidden="false" customHeight="false" outlineLevel="0" collapsed="false">
      <c r="A79" s="5" t="s">
        <v>428</v>
      </c>
      <c r="B79" s="6" t="s">
        <v>88</v>
      </c>
      <c r="C79" s="6" t="s">
        <v>414</v>
      </c>
      <c r="D79" s="6" t="s">
        <v>281</v>
      </c>
      <c r="E79" s="6" t="s">
        <v>282</v>
      </c>
      <c r="F79" s="6" t="s">
        <v>429</v>
      </c>
      <c r="G79" s="6" t="s">
        <v>430</v>
      </c>
      <c r="H79" s="7" t="s">
        <v>34</v>
      </c>
      <c r="I79" s="8"/>
      <c r="J79" s="8"/>
      <c r="K79" s="9"/>
      <c r="L79" s="8" t="s">
        <v>45</v>
      </c>
      <c r="M79" s="8"/>
    </row>
    <row r="80" customFormat="false" ht="23.85" hidden="false" customHeight="false" outlineLevel="0" collapsed="false">
      <c r="A80" s="5" t="s">
        <v>431</v>
      </c>
      <c r="B80" s="6" t="s">
        <v>360</v>
      </c>
      <c r="C80" s="6" t="s">
        <v>414</v>
      </c>
      <c r="D80" s="6" t="s">
        <v>432</v>
      </c>
      <c r="E80" s="6" t="s">
        <v>183</v>
      </c>
      <c r="F80" s="6" t="s">
        <v>433</v>
      </c>
      <c r="G80" s="6" t="s">
        <v>434</v>
      </c>
      <c r="H80" s="6" t="s">
        <v>63</v>
      </c>
      <c r="I80" s="8"/>
      <c r="J80" s="8"/>
      <c r="K80" s="9"/>
      <c r="L80" s="8" t="s">
        <v>45</v>
      </c>
      <c r="M80" s="8"/>
    </row>
    <row r="81" customFormat="false" ht="23.85" hidden="false" customHeight="false" outlineLevel="0" collapsed="false">
      <c r="A81" s="5" t="s">
        <v>435</v>
      </c>
      <c r="B81" s="6" t="s">
        <v>217</v>
      </c>
      <c r="C81" s="6" t="s">
        <v>414</v>
      </c>
      <c r="D81" s="6" t="s">
        <v>436</v>
      </c>
      <c r="E81" s="6" t="s">
        <v>437</v>
      </c>
      <c r="F81" s="6" t="s">
        <v>438</v>
      </c>
      <c r="G81" s="6" t="s">
        <v>439</v>
      </c>
      <c r="H81" s="6" t="s">
        <v>86</v>
      </c>
      <c r="I81" s="8"/>
      <c r="J81" s="8"/>
      <c r="K81" s="9"/>
      <c r="L81" s="8" t="s">
        <v>45</v>
      </c>
      <c r="M81" s="8"/>
    </row>
    <row r="82" customFormat="false" ht="23.85" hidden="false" customHeight="false" outlineLevel="0" collapsed="false">
      <c r="A82" s="5" t="s">
        <v>440</v>
      </c>
      <c r="B82" s="6" t="s">
        <v>217</v>
      </c>
      <c r="C82" s="6" t="s">
        <v>414</v>
      </c>
      <c r="D82" s="6" t="s">
        <v>441</v>
      </c>
      <c r="E82" s="6" t="s">
        <v>442</v>
      </c>
      <c r="F82" s="6" t="s">
        <v>443</v>
      </c>
      <c r="G82" s="6" t="s">
        <v>444</v>
      </c>
      <c r="H82" s="6" t="s">
        <v>86</v>
      </c>
      <c r="I82" s="8"/>
      <c r="J82" s="8"/>
      <c r="K82" s="9"/>
      <c r="L82" s="8" t="s">
        <v>45</v>
      </c>
      <c r="M82" s="8"/>
    </row>
    <row r="83" customFormat="false" ht="23.85" hidden="false" customHeight="false" outlineLevel="0" collapsed="false">
      <c r="A83" s="5" t="s">
        <v>445</v>
      </c>
      <c r="B83" s="6" t="s">
        <v>217</v>
      </c>
      <c r="C83" s="6" t="s">
        <v>414</v>
      </c>
      <c r="D83" s="6" t="s">
        <v>446</v>
      </c>
      <c r="E83" s="6" t="s">
        <v>447</v>
      </c>
      <c r="F83" s="6" t="s">
        <v>448</v>
      </c>
      <c r="G83" s="6" t="s">
        <v>449</v>
      </c>
      <c r="H83" s="6" t="s">
        <v>86</v>
      </c>
      <c r="I83" s="8"/>
      <c r="J83" s="8"/>
      <c r="K83" s="9"/>
      <c r="L83" s="8" t="s">
        <v>45</v>
      </c>
      <c r="M83" s="8"/>
    </row>
  </sheetData>
  <autoFilter ref="A1:M83"/>
  <conditionalFormatting sqref="L2:L83">
    <cfRule type="expression" priority="2" aboveAverage="0" equalAverage="0" bottom="0" percent="0" rank="0" text="" dxfId="6">
      <formula>$L2="Passou"</formula>
    </cfRule>
    <cfRule type="expression" priority="3" aboveAverage="0" equalAverage="0" bottom="0" percent="0" rank="0" text="" dxfId="7">
      <formula>$L2="Falhou"</formula>
    </cfRule>
    <cfRule type="expression" priority="4" aboveAverage="0" equalAverage="0" bottom="0" percent="0" rank="0" text="" dxfId="8">
      <formula>$L2="Bloqueado"</formula>
    </cfRule>
  </conditionalFormatting>
  <dataValidations count="1">
    <dataValidation allowBlank="true" error="Escolha Passou, Falhou, Bloqueado ou Não testado." errorStyle="stop" errorTitle="Resultado" operator="between" showDropDown="false" showErrorMessage="false" showInputMessage="false" sqref="L2:L83" type="list">
      <formula1>"Passou,Falhou,Bloqueado,Não testado"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9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6"/>
  </cols>
  <sheetData>
    <row r="1" customFormat="false" ht="23.85" hidden="false" customHeight="false" outlineLevel="0" collapsed="false">
      <c r="A1" s="4" t="s">
        <v>16</v>
      </c>
      <c r="B1" s="4" t="s">
        <v>450</v>
      </c>
      <c r="C1" s="4" t="s">
        <v>37</v>
      </c>
      <c r="D1" s="4" t="s">
        <v>451</v>
      </c>
      <c r="E1" s="4" t="s">
        <v>452</v>
      </c>
      <c r="F1" s="4" t="s">
        <v>45</v>
      </c>
      <c r="G1" s="4" t="s">
        <v>453</v>
      </c>
      <c r="H1" s="4" t="s">
        <v>454</v>
      </c>
    </row>
    <row r="2" customFormat="false" ht="15" hidden="false" customHeight="false" outlineLevel="0" collapsed="false">
      <c r="A2" s="10" t="s">
        <v>29</v>
      </c>
      <c r="B2" s="10" t="n">
        <f aca="false">COUNTIF('Casos de teste'!$C$2:$C$83,A2)</f>
        <v>13</v>
      </c>
      <c r="C2" s="10" t="n">
        <f aca="false">COUNTIFS('Casos de teste'!$C$2:$C$83,$A2,'Casos de teste'!$L$2:$L$83,"Passou")</f>
        <v>1</v>
      </c>
      <c r="D2" s="10" t="n">
        <f aca="false">COUNTIFS('Casos de teste'!$C$2:$C$83,$A2,'Casos de teste'!$L$2:$L$83,"Falhou")</f>
        <v>0</v>
      </c>
      <c r="E2" s="10" t="n">
        <f aca="false">COUNTIFS('Casos de teste'!$C$2:$C$83,$A2,'Casos de teste'!$L$2:$L$83,"Bloqueado")</f>
        <v>0</v>
      </c>
      <c r="F2" s="10" t="n">
        <f aca="false">COUNTIFS('Casos de teste'!$C$2:$C$83,$A2,'Casos de teste'!$L$2:$L$83,"Não testado")</f>
        <v>12</v>
      </c>
      <c r="G2" s="11" t="n">
        <f aca="false">IF(B2=0,0,(C2+D2)/B2)</f>
        <v>0.0769230769230769</v>
      </c>
      <c r="H2" s="11" t="n">
        <f aca="false">IF(C2+D2=0,"-",C2/(C2+D2))</f>
        <v>1</v>
      </c>
    </row>
    <row r="3" customFormat="false" ht="15" hidden="false" customHeight="false" outlineLevel="0" collapsed="false">
      <c r="A3" s="10" t="s">
        <v>109</v>
      </c>
      <c r="B3" s="10" t="n">
        <f aca="false">COUNTIF('Casos de teste'!$C$2:$C$83,A3)</f>
        <v>17</v>
      </c>
      <c r="C3" s="10" t="n">
        <f aca="false">COUNTIFS('Casos de teste'!$C$2:$C$83,$A3,'Casos de teste'!$L$2:$L$83,"Passou")</f>
        <v>0</v>
      </c>
      <c r="D3" s="10" t="n">
        <f aca="false">COUNTIFS('Casos de teste'!$C$2:$C$83,$A3,'Casos de teste'!$L$2:$L$83,"Falhou")</f>
        <v>0</v>
      </c>
      <c r="E3" s="10" t="n">
        <f aca="false">COUNTIFS('Casos de teste'!$C$2:$C$83,$A3,'Casos de teste'!$L$2:$L$83,"Bloqueado")</f>
        <v>0</v>
      </c>
      <c r="F3" s="10" t="n">
        <f aca="false">COUNTIFS('Casos de teste'!$C$2:$C$83,$A3,'Casos de teste'!$L$2:$L$83,"Não testado")</f>
        <v>17</v>
      </c>
      <c r="G3" s="11" t="n">
        <f aca="false">IF(B3=0,0,(C3+D3)/B3)</f>
        <v>0</v>
      </c>
      <c r="H3" s="11" t="str">
        <f aca="false">IF(C3+D3=0,"-",C3/(C3+D3))</f>
        <v>-</v>
      </c>
    </row>
    <row r="4" customFormat="false" ht="15" hidden="false" customHeight="false" outlineLevel="0" collapsed="false">
      <c r="A4" s="10" t="s">
        <v>196</v>
      </c>
      <c r="B4" s="10" t="n">
        <f aca="false">COUNTIF('Casos de teste'!$C$2:$C$83,A4)</f>
        <v>6</v>
      </c>
      <c r="C4" s="10" t="n">
        <f aca="false">COUNTIFS('Casos de teste'!$C$2:$C$83,$A4,'Casos de teste'!$L$2:$L$83,"Passou")</f>
        <v>0</v>
      </c>
      <c r="D4" s="10" t="n">
        <f aca="false">COUNTIFS('Casos de teste'!$C$2:$C$83,$A4,'Casos de teste'!$L$2:$L$83,"Falhou")</f>
        <v>0</v>
      </c>
      <c r="E4" s="10" t="n">
        <f aca="false">COUNTIFS('Casos de teste'!$C$2:$C$83,$A4,'Casos de teste'!$L$2:$L$83,"Bloqueado")</f>
        <v>0</v>
      </c>
      <c r="F4" s="10" t="n">
        <f aca="false">COUNTIFS('Casos de teste'!$C$2:$C$83,$A4,'Casos de teste'!$L$2:$L$83,"Não testado")</f>
        <v>6</v>
      </c>
      <c r="G4" s="11" t="n">
        <f aca="false">IF(B4=0,0,(C4+D4)/B4)</f>
        <v>0</v>
      </c>
      <c r="H4" s="11" t="str">
        <f aca="false">IF(C4+D4=0,"-",C4/(C4+D4))</f>
        <v>-</v>
      </c>
    </row>
    <row r="5" customFormat="false" ht="15" hidden="false" customHeight="false" outlineLevel="0" collapsed="false">
      <c r="A5" s="10" t="s">
        <v>227</v>
      </c>
      <c r="B5" s="10" t="n">
        <f aca="false">COUNTIF('Casos de teste'!$C$2:$C$83,A5)</f>
        <v>12</v>
      </c>
      <c r="C5" s="10" t="n">
        <f aca="false">COUNTIFS('Casos de teste'!$C$2:$C$83,$A5,'Casos de teste'!$L$2:$L$83,"Passou")</f>
        <v>0</v>
      </c>
      <c r="D5" s="10" t="n">
        <f aca="false">COUNTIFS('Casos de teste'!$C$2:$C$83,$A5,'Casos de teste'!$L$2:$L$83,"Falhou")</f>
        <v>0</v>
      </c>
      <c r="E5" s="10" t="n">
        <f aca="false">COUNTIFS('Casos de teste'!$C$2:$C$83,$A5,'Casos de teste'!$L$2:$L$83,"Bloqueado")</f>
        <v>0</v>
      </c>
      <c r="F5" s="10" t="n">
        <f aca="false">COUNTIFS('Casos de teste'!$C$2:$C$83,$A5,'Casos de teste'!$L$2:$L$83,"Não testado")</f>
        <v>12</v>
      </c>
      <c r="G5" s="11" t="n">
        <f aca="false">IF(B5=0,0,(C5+D5)/B5)</f>
        <v>0</v>
      </c>
      <c r="H5" s="11" t="str">
        <f aca="false">IF(C5+D5=0,"-",C5/(C5+D5))</f>
        <v>-</v>
      </c>
    </row>
    <row r="6" customFormat="false" ht="15" hidden="false" customHeight="false" outlineLevel="0" collapsed="false">
      <c r="A6" s="10" t="s">
        <v>286</v>
      </c>
      <c r="B6" s="10" t="n">
        <f aca="false">COUNTIF('Casos de teste'!$C$2:$C$83,A6)</f>
        <v>15</v>
      </c>
      <c r="C6" s="10" t="n">
        <f aca="false">COUNTIFS('Casos de teste'!$C$2:$C$83,$A6,'Casos de teste'!$L$2:$L$83,"Passou")</f>
        <v>0</v>
      </c>
      <c r="D6" s="10" t="n">
        <f aca="false">COUNTIFS('Casos de teste'!$C$2:$C$83,$A6,'Casos de teste'!$L$2:$L$83,"Falhou")</f>
        <v>0</v>
      </c>
      <c r="E6" s="10" t="n">
        <f aca="false">COUNTIFS('Casos de teste'!$C$2:$C$83,$A6,'Casos de teste'!$L$2:$L$83,"Bloqueado")</f>
        <v>0</v>
      </c>
      <c r="F6" s="10" t="n">
        <f aca="false">COUNTIFS('Casos de teste'!$C$2:$C$83,$A6,'Casos de teste'!$L$2:$L$83,"Não testado")</f>
        <v>15</v>
      </c>
      <c r="G6" s="11" t="n">
        <f aca="false">IF(B6=0,0,(C6+D6)/B6)</f>
        <v>0</v>
      </c>
      <c r="H6" s="11" t="str">
        <f aca="false">IF(C6+D6=0,"-",C6/(C6+D6))</f>
        <v>-</v>
      </c>
    </row>
    <row r="7" customFormat="false" ht="15" hidden="false" customHeight="false" outlineLevel="0" collapsed="false">
      <c r="A7" s="10" t="s">
        <v>361</v>
      </c>
      <c r="B7" s="10" t="n">
        <f aca="false">COUNTIF('Casos de teste'!$C$2:$C$83,A7)</f>
        <v>5</v>
      </c>
      <c r="C7" s="10" t="n">
        <f aca="false">COUNTIFS('Casos de teste'!$C$2:$C$83,$A7,'Casos de teste'!$L$2:$L$83,"Passou")</f>
        <v>0</v>
      </c>
      <c r="D7" s="10" t="n">
        <f aca="false">COUNTIFS('Casos de teste'!$C$2:$C$83,$A7,'Casos de teste'!$L$2:$L$83,"Falhou")</f>
        <v>0</v>
      </c>
      <c r="E7" s="10" t="n">
        <f aca="false">COUNTIFS('Casos de teste'!$C$2:$C$83,$A7,'Casos de teste'!$L$2:$L$83,"Bloqueado")</f>
        <v>0</v>
      </c>
      <c r="F7" s="10" t="n">
        <f aca="false">COUNTIFS('Casos de teste'!$C$2:$C$83,$A7,'Casos de teste'!$L$2:$L$83,"Não testado")</f>
        <v>5</v>
      </c>
      <c r="G7" s="11" t="n">
        <f aca="false">IF(B7=0,0,(C7+D7)/B7)</f>
        <v>0</v>
      </c>
      <c r="H7" s="11" t="str">
        <f aca="false">IF(C7+D7=0,"-",C7/(C7+D7))</f>
        <v>-</v>
      </c>
    </row>
    <row r="8" customFormat="false" ht="15" hidden="false" customHeight="false" outlineLevel="0" collapsed="false">
      <c r="A8" s="10" t="s">
        <v>385</v>
      </c>
      <c r="B8" s="10" t="n">
        <f aca="false">COUNTIF('Casos de teste'!$C$2:$C$83,A8)</f>
        <v>6</v>
      </c>
      <c r="C8" s="10" t="n">
        <f aca="false">COUNTIFS('Casos de teste'!$C$2:$C$83,$A8,'Casos de teste'!$L$2:$L$83,"Passou")</f>
        <v>0</v>
      </c>
      <c r="D8" s="10" t="n">
        <f aca="false">COUNTIFS('Casos de teste'!$C$2:$C$83,$A8,'Casos de teste'!$L$2:$L$83,"Falhou")</f>
        <v>0</v>
      </c>
      <c r="E8" s="10" t="n">
        <f aca="false">COUNTIFS('Casos de teste'!$C$2:$C$83,$A8,'Casos de teste'!$L$2:$L$83,"Bloqueado")</f>
        <v>0</v>
      </c>
      <c r="F8" s="10" t="n">
        <f aca="false">COUNTIFS('Casos de teste'!$C$2:$C$83,$A8,'Casos de teste'!$L$2:$L$83,"Não testado")</f>
        <v>6</v>
      </c>
      <c r="G8" s="11" t="n">
        <f aca="false">IF(B8=0,0,(C8+D8)/B8)</f>
        <v>0</v>
      </c>
      <c r="H8" s="11" t="str">
        <f aca="false">IF(C8+D8=0,"-",C8/(C8+D8))</f>
        <v>-</v>
      </c>
    </row>
    <row r="9" customFormat="false" ht="15" hidden="false" customHeight="false" outlineLevel="0" collapsed="false">
      <c r="A9" s="10" t="s">
        <v>414</v>
      </c>
      <c r="B9" s="10" t="n">
        <f aca="false">COUNTIF('Casos de teste'!$C$2:$C$83,A9)</f>
        <v>8</v>
      </c>
      <c r="C9" s="10" t="n">
        <f aca="false">COUNTIFS('Casos de teste'!$C$2:$C$83,$A9,'Casos de teste'!$L$2:$L$83,"Passou")</f>
        <v>0</v>
      </c>
      <c r="D9" s="10" t="n">
        <f aca="false">COUNTIFS('Casos de teste'!$C$2:$C$83,$A9,'Casos de teste'!$L$2:$L$83,"Falhou")</f>
        <v>0</v>
      </c>
      <c r="E9" s="10" t="n">
        <f aca="false">COUNTIFS('Casos de teste'!$C$2:$C$83,$A9,'Casos de teste'!$L$2:$L$83,"Bloqueado")</f>
        <v>0</v>
      </c>
      <c r="F9" s="10" t="n">
        <f aca="false">COUNTIFS('Casos de teste'!$C$2:$C$83,$A9,'Casos de teste'!$L$2:$L$83,"Não testado")</f>
        <v>8</v>
      </c>
      <c r="G9" s="11" t="n">
        <f aca="false">IF(B9=0,0,(C9+D9)/B9)</f>
        <v>0</v>
      </c>
      <c r="H9" s="11" t="str">
        <f aca="false">IF(C9+D9=0,"-",C9/(C9+D9))</f>
        <v>-</v>
      </c>
    </row>
    <row r="10" customFormat="false" ht="15" hidden="false" customHeight="false" outlineLevel="0" collapsed="false">
      <c r="A10" s="12" t="s">
        <v>455</v>
      </c>
      <c r="B10" s="12" t="n">
        <f aca="false">SUM(B2:B9)</f>
        <v>82</v>
      </c>
      <c r="C10" s="12" t="n">
        <f aca="false">SUM(C2:C9)</f>
        <v>1</v>
      </c>
      <c r="D10" s="12" t="n">
        <f aca="false">SUM(D2:D9)</f>
        <v>0</v>
      </c>
      <c r="E10" s="12" t="n">
        <f aca="false">SUM(E2:E9)</f>
        <v>0</v>
      </c>
      <c r="F10" s="12" t="n">
        <f aca="false">SUM(F2:F9)</f>
        <v>81</v>
      </c>
      <c r="G10" s="13" t="n">
        <f aca="false">IF(B10=0,0,(C10+D10)/B10)</f>
        <v>0.0121951219512195</v>
      </c>
      <c r="H10" s="13" t="n">
        <f aca="false">IF(C10+D10=0,"-",C10/(C10+D10))</f>
        <v>1</v>
      </c>
    </row>
    <row r="12" customFormat="false" ht="15" hidden="false" customHeight="false" outlineLevel="0" collapsed="false">
      <c r="A12" s="14" t="s">
        <v>456</v>
      </c>
    </row>
    <row r="13" customFormat="false" ht="15" hidden="false" customHeight="false" outlineLevel="0" collapsed="false">
      <c r="A13" s="15" t="s">
        <v>457</v>
      </c>
      <c r="B13" s="16" t="str">
        <f aca="false" t="array" ref="B13:B13">IFERROR(_xlfn.TEXTJOIN(", ",TRUE(),IF('Casos de teste'!$L$2:$L$83="Falhou",'Casos de teste'!$A$2:$A$83,"")),"")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2026-09-29T02:27:07Z</dcterms:created>
  <dc:creator>openpyxl</dc:creator>
  <dc:description/>
  <dc:language>en-US</dc:language>
  <cp:lastModifiedBy/>
  <dcterms:modified xsi:type="dcterms:W3CDTF">2026-09-29T02:27:07Z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