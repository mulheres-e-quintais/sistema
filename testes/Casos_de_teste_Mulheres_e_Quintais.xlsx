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Casos de teste" sheetId="2" state="visible" r:id="rId2"/>
    <sheet xmlns:r="http://schemas.openxmlformats.org/officeDocument/2006/relationships" name="Resumo" sheetId="3" state="visible" r:id="rId3"/>
  </sheets>
  <definedNames>
    <definedName name="_xlnm._FilterDatabase" localSheetId="1" hidden="1">'Casos de teste'!$A$1:$M$101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B23A2E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452B1A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9CBB8"/>
      </left>
      <right style="thin">
        <color rgb="00D9CBB8"/>
      </right>
      <top style="thin">
        <color rgb="00D9CBB8"/>
      </top>
      <bottom style="thin">
        <color rgb="00D9CBB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0" borderId="1" pivotButton="0" quotePrefix="0" xfId="0"/>
    <xf numFmtId="9" fontId="2" fillId="0" borderId="1" pivotButton="0" quotePrefix="0" xfId="0"/>
    <xf numFmtId="0" fontId="5" fillId="0" borderId="1" pivotButton="0" quotePrefix="0" xfId="0"/>
    <xf numFmtId="9" fontId="5" fillId="0" borderId="1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Casos de teste · Sistema Mulheres &amp; Quintais</t>
        </is>
      </c>
    </row>
    <row r="2">
      <c r="A2" s="2" t="inlineStr">
        <is>
          <t>Versão do sistema testada: mq-v98 (setembro de 2026) · 100 casos</t>
        </is>
      </c>
    </row>
    <row r="3">
      <c r="A3" s="2" t="inlineStr"/>
    </row>
    <row r="4">
      <c r="A4" s="3" t="inlineStr">
        <is>
          <t>Como usar</t>
        </is>
      </c>
    </row>
    <row r="5">
      <c r="A5" s="2" t="inlineStr">
        <is>
          <t>1. Cada linha da aba "Casos de teste" é uma coisa para testar. Faça os passos com o perfil indicado e compare com o "Resultado esperado".</t>
        </is>
      </c>
    </row>
    <row r="6">
      <c r="A6" s="2" t="inlineStr">
        <is>
          <t>2. A coluna Prioridade diz o que testar primeiro: Crítica, depois Alta, depois Média. Preencha só as colunas com fundo amarelo: Celular e navegador, Testado por, Data, Resultado e Observação.</t>
        </is>
      </c>
    </row>
    <row r="7">
      <c r="A7" s="2" t="inlineStr">
        <is>
          <t>3. Em Resultado, escolha: Passou, Falhou, Bloqueado (não deu para testar, por exemplo por falta de pré-condição) ou Não testado.</t>
        </is>
      </c>
    </row>
    <row r="8">
      <c r="A8" s="2" t="inlineStr">
        <is>
          <t>4. Quando falhar: escreva em Observação o que apareceu na tela e mande um print da tela para a coordenação geral, citando o ID do caso (ex.: F05).</t>
        </is>
      </c>
    </row>
    <row r="9">
      <c r="A9" s="2" t="inlineStr">
        <is>
          <t>5. Teste no celular de verdade de quem vai usar: pelo menos um Android (Chrome) e um iPhone (Safari).</t>
        </is>
      </c>
    </row>
    <row r="10">
      <c r="A10" s="2" t="inlineStr">
        <is>
          <t>6. Os casos sem internet (A10, A14, S02, F05, F13) devem ser feitos com o celular em modo avião, de preferência no campo.</t>
        </is>
      </c>
    </row>
    <row r="11">
      <c r="A11" s="2" t="inlineStr">
        <is>
          <t>7. A aba "Resumo" conta sozinha quantos passaram e falharam em cada área.</t>
        </is>
      </c>
    </row>
    <row r="12">
      <c r="A12" s="2" t="inlineStr"/>
    </row>
    <row r="13">
      <c r="A13" s="3" t="inlineStr">
        <is>
          <t>Antes de começar</t>
        </is>
      </c>
    </row>
    <row r="14">
      <c r="A14" s="2" t="inlineStr">
        <is>
          <t>• Use dados inventados. Nunca teste com CPF, nome ou foto de uma mulher real.</t>
        </is>
      </c>
    </row>
    <row r="15">
      <c r="A15" s="2" t="inlineStr">
        <is>
          <t>• Os testes mexem no banco de dados. Enquanto não houver dados reais, a coordenação geral pode zerar e popular o banco de teste. Depois que houver dados reais, teste só em um ambiente separado.</t>
        </is>
      </c>
    </row>
    <row r="16">
      <c r="A16" s="2" t="inlineStr">
        <is>
          <t>• O caso A01 tem uma linha de exemplo já preenchida, para mostrar o formato. Apague ou substitua pelo seu resultado.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8" customWidth="1" min="4" max="4"/>
    <col width="26" customWidth="1" min="5" max="5"/>
    <col width="46" customWidth="1" min="6" max="6"/>
    <col width="46" customWidth="1" min="7" max="7"/>
    <col width="11" customWidth="1" min="8" max="8"/>
    <col width="18" customWidth="1" min="9" max="9"/>
    <col width="16" customWidth="1" min="10" max="10"/>
    <col width="11" customWidth="1" min="11" max="11"/>
    <col width="13" customWidth="1" min="12" max="12"/>
    <col width="34" customWidth="1" min="13" max="13"/>
  </cols>
  <sheetData>
    <row r="1" ht="30" customHeight="1">
      <c r="A1" s="4" t="inlineStr">
        <is>
          <t>ID</t>
        </is>
      </c>
      <c r="B1" s="4" t="inlineStr">
        <is>
          <t>Perfil</t>
        </is>
      </c>
      <c r="C1" s="4" t="inlineStr">
        <is>
          <t>Área</t>
        </is>
      </c>
      <c r="D1" s="4" t="inlineStr">
        <is>
          <t>O que testar</t>
        </is>
      </c>
      <c r="E1" s="4" t="inlineStr">
        <is>
          <t>Pré-condição</t>
        </is>
      </c>
      <c r="F1" s="4" t="inlineStr">
        <is>
          <t>Passos</t>
        </is>
      </c>
      <c r="G1" s="4" t="inlineStr">
        <is>
          <t>Resultado esperado</t>
        </is>
      </c>
      <c r="H1" s="4" t="inlineStr">
        <is>
          <t>Prioridade</t>
        </is>
      </c>
      <c r="I1" s="4" t="inlineStr">
        <is>
          <t>Celular e navegador</t>
        </is>
      </c>
      <c r="J1" s="4" t="inlineStr">
        <is>
          <t>Testado por</t>
        </is>
      </c>
      <c r="K1" s="4" t="inlineStr">
        <is>
          <t>Data</t>
        </is>
      </c>
      <c r="L1" s="4" t="inlineStr">
        <is>
          <t>Resultado</t>
        </is>
      </c>
      <c r="M1" s="4" t="inlineStr">
        <is>
          <t>Observação</t>
        </is>
      </c>
    </row>
    <row r="2">
      <c r="A2" s="5" t="inlineStr">
        <is>
          <t>A01</t>
        </is>
      </c>
      <c r="B2" s="6" t="inlineStr">
        <is>
          <t>Coordenação geral</t>
        </is>
      </c>
      <c r="C2" s="6" t="inlineStr">
        <is>
          <t>Acesso e login</t>
        </is>
      </c>
      <c r="D2" s="6" t="inlineStr">
        <is>
          <t>Gerar código de acesso</t>
        </is>
      </c>
      <c r="E2" s="6" t="inlineStr">
        <is>
          <t>Pessoa cadastrada que ainda não criou senha</t>
        </is>
      </c>
      <c r="F2" s="6" t="inlineStr">
        <is>
          <t>Equipe → abrir a ficha da pessoa → Gerar código de acesso → Mandar por WhatsApp</t>
        </is>
      </c>
      <c r="G2" s="6" t="inlineStr">
        <is>
          <t>Aparece o código (ex.: ABCD-2345, vale 7 dias) e a mensagem pronta com endereço, e-mail e código</t>
        </is>
      </c>
      <c r="H2" s="7" t="inlineStr">
        <is>
          <t>Crítica</t>
        </is>
      </c>
      <c r="I2" s="8" t="inlineStr">
        <is>
          <t>Moto G, Chrome</t>
        </is>
      </c>
      <c r="J2" s="8" t="inlineStr">
        <is>
          <t>Exemplo</t>
        </is>
      </c>
      <c r="K2" s="9" t="n">
        <v>46294</v>
      </c>
      <c r="L2" s="8" t="inlineStr">
        <is>
          <t>Passou</t>
        </is>
      </c>
      <c r="M2" s="8" t="inlineStr">
        <is>
          <t>Exemplo de preenchimento: substitua pelo seu teste.</t>
        </is>
      </c>
    </row>
    <row r="3">
      <c r="A3" s="5" t="inlineStr">
        <is>
          <t>A02</t>
        </is>
      </c>
      <c r="B3" s="6" t="inlineStr">
        <is>
          <t>Qualquer perfil novo</t>
        </is>
      </c>
      <c r="C3" s="6" t="inlineStr">
        <is>
          <t>Acesso e login</t>
        </is>
      </c>
      <c r="D3" s="6" t="inlineStr">
        <is>
          <t>Primeiro acesso com código certo</t>
        </is>
      </c>
      <c r="E3" s="6" t="inlineStr">
        <is>
          <t>Ter recebido o código (A01)</t>
        </is>
      </c>
      <c r="F3" s="6" t="inlineStr">
        <is>
          <t>Tela de entrada → Primeiro acesso → e-mail, código e senha (2 vezes) → Criar senha e entrar</t>
        </is>
      </c>
      <c r="G3" s="6" t="inlineStr">
        <is>
          <t>Entra no sistema e vê só as telas do seu perfil</t>
        </is>
      </c>
      <c r="H3" s="7" t="inlineStr">
        <is>
          <t>Crítica</t>
        </is>
      </c>
      <c r="I3" s="8" t="n"/>
      <c r="J3" s="8" t="n"/>
      <c r="K3" s="9" t="n"/>
      <c r="L3" s="8" t="inlineStr">
        <is>
          <t>Não testado</t>
        </is>
      </c>
      <c r="M3" s="8" t="n"/>
    </row>
    <row r="4">
      <c r="A4" s="5" t="inlineStr">
        <is>
          <t>A03</t>
        </is>
      </c>
      <c r="B4" s="6" t="inlineStr">
        <is>
          <t>Qualquer perfil novo</t>
        </is>
      </c>
      <c r="C4" s="6" t="inlineStr">
        <is>
          <t>Acesso e login</t>
        </is>
      </c>
      <c r="D4" s="6" t="inlineStr">
        <is>
          <t>Primeiro acesso com código errado</t>
        </is>
      </c>
      <c r="E4" s="6" t="inlineStr">
        <is>
          <t>Pessoa cadastrada, sem senha</t>
        </is>
      </c>
      <c r="F4" s="6" t="inlineStr">
        <is>
          <t>Primeiro acesso → e-mail certo e código inventado</t>
        </is>
      </c>
      <c r="G4" s="6" t="inlineStr">
        <is>
          <t>Recusa com a mensagem "confira o e-mail e o código de acesso". Não cria senha</t>
        </is>
      </c>
      <c r="H4" s="7" t="inlineStr">
        <is>
          <t>Crítica</t>
        </is>
      </c>
      <c r="I4" s="8" t="n"/>
      <c r="J4" s="8" t="n"/>
      <c r="K4" s="9" t="n"/>
      <c r="L4" s="8" t="inlineStr">
        <is>
          <t>Não testado</t>
        </is>
      </c>
      <c r="M4" s="8" t="n"/>
    </row>
    <row r="5">
      <c r="A5" s="5" t="inlineStr">
        <is>
          <t>A04</t>
        </is>
      </c>
      <c r="B5" s="6" t="inlineStr">
        <is>
          <t>Pessoa de fora</t>
        </is>
      </c>
      <c r="C5" s="6" t="inlineStr">
        <is>
          <t>Acesso e login</t>
        </is>
      </c>
      <c r="D5" s="6" t="inlineStr">
        <is>
          <t>Tentar entrar no lugar de outra pessoa</t>
        </is>
      </c>
      <c r="E5" s="6" t="inlineStr">
        <is>
          <t>Saber o e-mail de alguém cadastrado que ainda não entrou</t>
        </is>
      </c>
      <c r="F5" s="6" t="inlineStr">
        <is>
          <t>Primeiro acesso com o e-mail dessa pessoa, sem o código dela</t>
        </is>
      </c>
      <c r="G5" s="6" t="inlineStr">
        <is>
          <t>Recusado. Sem o código ninguém cria a senha</t>
        </is>
      </c>
      <c r="H5" s="7" t="inlineStr">
        <is>
          <t>Crítica</t>
        </is>
      </c>
      <c r="I5" s="8" t="n"/>
      <c r="J5" s="8" t="n"/>
      <c r="K5" s="9" t="n"/>
      <c r="L5" s="8" t="inlineStr">
        <is>
          <t>Não testado</t>
        </is>
      </c>
      <c r="M5" s="8" t="n"/>
    </row>
    <row r="6">
      <c r="A6" s="5" t="inlineStr">
        <is>
          <t>A05</t>
        </is>
      </c>
      <c r="B6" s="6" t="inlineStr">
        <is>
          <t>Qualquer perfil</t>
        </is>
      </c>
      <c r="C6" s="6" t="inlineStr">
        <is>
          <t>Acesso e login</t>
        </is>
      </c>
      <c r="D6" s="6" t="inlineStr">
        <is>
          <t>Usar o mesmo código duas vezes</t>
        </is>
      </c>
      <c r="E6" s="6" t="inlineStr">
        <is>
          <t>Já ter feito o A02</t>
        </is>
      </c>
      <c r="F6" s="6" t="inlineStr">
        <is>
          <t>Sair → Primeiro acesso de novo com o mesmo e-mail e código</t>
        </is>
      </c>
      <c r="G6" s="6" t="inlineStr">
        <is>
          <t>Aparece "Este e-mail já tem senha"</t>
        </is>
      </c>
      <c r="H6" s="6" t="inlineStr">
        <is>
          <t>Alta</t>
        </is>
      </c>
      <c r="I6" s="8" t="n"/>
      <c r="J6" s="8" t="n"/>
      <c r="K6" s="9" t="n"/>
      <c r="L6" s="8" t="inlineStr">
        <is>
          <t>Não testado</t>
        </is>
      </c>
      <c r="M6" s="8" t="n"/>
    </row>
    <row r="7">
      <c r="A7" s="5" t="inlineStr">
        <is>
          <t>A06</t>
        </is>
      </c>
      <c r="B7" s="6" t="inlineStr">
        <is>
          <t>Coordenação geral</t>
        </is>
      </c>
      <c r="C7" s="6" t="inlineStr">
        <is>
          <t>Acesso e login</t>
        </is>
      </c>
      <c r="D7" s="6" t="inlineStr">
        <is>
          <t>Liberar novo acesso (esqueceu a senha)</t>
        </is>
      </c>
      <c r="E7" s="6" t="inlineStr">
        <is>
          <t>Pessoa que já tem senha</t>
        </is>
      </c>
      <c r="F7" s="6" t="inlineStr">
        <is>
          <t>Ficha da pessoa → Liberar novo primeiro acesso → Confirmar → mandar o código novo; a pessoa faz o Primeiro acesso</t>
        </is>
      </c>
      <c r="G7" s="6" t="inlineStr">
        <is>
          <t>Senha antiga deixa de funcionar; a nova funciona; os dados da pessoa continuam iguais; o Histórico registra</t>
        </is>
      </c>
      <c r="H7" s="7" t="inlineStr">
        <is>
          <t>Crítica</t>
        </is>
      </c>
      <c r="I7" s="8" t="n"/>
      <c r="J7" s="8" t="n"/>
      <c r="K7" s="9" t="n"/>
      <c r="L7" s="8" t="inlineStr">
        <is>
          <t>Não testado</t>
        </is>
      </c>
      <c r="M7" s="8" t="n"/>
    </row>
    <row r="8">
      <c r="A8" s="5" t="inlineStr">
        <is>
          <t>A07</t>
        </is>
      </c>
      <c r="B8" s="6" t="inlineStr">
        <is>
          <t>Coordenação técnica</t>
        </is>
      </c>
      <c r="C8" s="6" t="inlineStr">
        <is>
          <t>Acesso e login</t>
        </is>
      </c>
      <c r="D8" s="6" t="inlineStr">
        <is>
          <t>Não pode liberar novo acesso</t>
        </is>
      </c>
      <c r="E8" s="6" t="inlineStr">
        <is>
          <t>Bolsista que já tem senha</t>
        </is>
      </c>
      <c r="F8" s="6" t="inlineStr">
        <is>
          <t>Abrir a ficha da bolsista</t>
        </is>
      </c>
      <c r="G8" s="6" t="inlineStr">
        <is>
          <t>O botão "Liberar novo primeiro acesso" não aparece</t>
        </is>
      </c>
      <c r="H8" s="6" t="inlineStr">
        <is>
          <t>Alta</t>
        </is>
      </c>
      <c r="I8" s="8" t="n"/>
      <c r="J8" s="8" t="n"/>
      <c r="K8" s="9" t="n"/>
      <c r="L8" s="8" t="inlineStr">
        <is>
          <t>Não testado</t>
        </is>
      </c>
      <c r="M8" s="8" t="n"/>
    </row>
    <row r="9">
      <c r="A9" s="5" t="inlineStr">
        <is>
          <t>A08</t>
        </is>
      </c>
      <c r="B9" s="6" t="inlineStr">
        <is>
          <t>Todos (um login por perfil)</t>
        </is>
      </c>
      <c r="C9" s="6" t="inlineStr">
        <is>
          <t>Acesso e login</t>
        </is>
      </c>
      <c r="D9" s="6" t="inlineStr">
        <is>
          <t>Cada perfil vê só as suas telas</t>
        </is>
      </c>
      <c r="E9" s="6" t="inlineStr">
        <is>
          <t>Um login de cada perfil</t>
        </is>
      </c>
      <c r="F9" s="6" t="inlineStr">
        <is>
          <t>Entrar com cada login e anotar as abas</t>
        </is>
      </c>
      <c r="G9" s="6" t="inlineStr">
        <is>
          <t>Coord. geral: 8 abas. Coord. técnica: Seleção, Equipe, Campo, Pagamentos, Custos. Bolsista, agente, professor e auxiliar: só a própria tela</t>
        </is>
      </c>
      <c r="H9" s="7" t="inlineStr">
        <is>
          <t>Crítica</t>
        </is>
      </c>
      <c r="I9" s="8" t="n"/>
      <c r="J9" s="8" t="n"/>
      <c r="K9" s="9" t="n"/>
      <c r="L9" s="8" t="inlineStr">
        <is>
          <t>Não testado</t>
        </is>
      </c>
      <c r="M9" s="8" t="n"/>
    </row>
    <row r="10">
      <c r="A10" s="5" t="inlineStr">
        <is>
          <t>A09</t>
        </is>
      </c>
      <c r="B10" s="6" t="inlineStr">
        <is>
          <t>Qualquer perfil</t>
        </is>
      </c>
      <c r="C10" s="6" t="inlineStr">
        <is>
          <t>Acesso e login</t>
        </is>
      </c>
      <c r="D10" s="6" t="inlineStr">
        <is>
          <t>Continuar na mesma tela ao recarregar</t>
        </is>
      </c>
      <c r="E10" s="6" t="inlineStr">
        <is>
          <t>Estar em uma aba que não é a primeira</t>
        </is>
      </c>
      <c r="F10" s="6" t="inlineStr">
        <is>
          <t>Recarregar a página (puxar a tela para baixo no celular)</t>
        </is>
      </c>
      <c r="G10" s="6" t="inlineStr">
        <is>
          <t>Volta na mesma aba e na mesma altura da página</t>
        </is>
      </c>
      <c r="H10" s="6" t="inlineStr">
        <is>
          <t>Média</t>
        </is>
      </c>
      <c r="I10" s="8" t="n"/>
      <c r="J10" s="8" t="n"/>
      <c r="K10" s="9" t="n"/>
      <c r="L10" s="8" t="inlineStr">
        <is>
          <t>Não testado</t>
        </is>
      </c>
      <c r="M10" s="8" t="n"/>
    </row>
    <row r="11">
      <c r="A11" s="5" t="inlineStr">
        <is>
          <t>A10</t>
        </is>
      </c>
      <c r="B11" s="6" t="inlineStr">
        <is>
          <t>Bolsista</t>
        </is>
      </c>
      <c r="C11" s="6" t="inlineStr">
        <is>
          <t>Acesso e login</t>
        </is>
      </c>
      <c r="D11" s="6" t="inlineStr">
        <is>
          <t>Sair sem internet</t>
        </is>
      </c>
      <c r="E11" s="6" t="inlineStr">
        <is>
          <t>Celular em modo avião</t>
        </is>
      </c>
      <c r="F11" s="6" t="inlineStr">
        <is>
          <t>Tocar em Sair</t>
        </is>
      </c>
      <c r="G11" s="6" t="inlineStr">
        <is>
          <t>Pede confirmação ("Sair mesmo?") e avisa que só volta a entrar com internet</t>
        </is>
      </c>
      <c r="H11" s="6" t="inlineStr">
        <is>
          <t>Alta</t>
        </is>
      </c>
      <c r="I11" s="8" t="n"/>
      <c r="J11" s="8" t="n"/>
      <c r="K11" s="9" t="n"/>
      <c r="L11" s="8" t="inlineStr">
        <is>
          <t>Não testado</t>
        </is>
      </c>
      <c r="M11" s="8" t="n"/>
    </row>
    <row r="12">
      <c r="A12" s="5" t="inlineStr">
        <is>
          <t>A11</t>
        </is>
      </c>
      <c r="B12" s="6" t="inlineStr">
        <is>
          <t>Qualquer perfil</t>
        </is>
      </c>
      <c r="C12" s="6" t="inlineStr">
        <is>
          <t>Acesso e login</t>
        </is>
      </c>
      <c r="D12" s="6" t="inlineStr">
        <is>
          <t>Senha errada</t>
        </is>
      </c>
      <c r="E12" s="6" t="inlineStr">
        <is>
          <t>Pessoa com senha</t>
        </is>
      </c>
      <c r="F12" s="6" t="inlineStr">
        <is>
          <t>Já tenho senha → senha errada</t>
        </is>
      </c>
      <c r="G12" s="6" t="inlineStr">
        <is>
          <t>"E-mail ou senha incorretos"; não entra</t>
        </is>
      </c>
      <c r="H12" s="6" t="inlineStr">
        <is>
          <t>Alta</t>
        </is>
      </c>
      <c r="I12" s="8" t="n"/>
      <c r="J12" s="8" t="n"/>
      <c r="K12" s="9" t="n"/>
      <c r="L12" s="8" t="inlineStr">
        <is>
          <t>Não testado</t>
        </is>
      </c>
      <c r="M12" s="8" t="n"/>
    </row>
    <row r="13">
      <c r="A13" s="5" t="inlineStr">
        <is>
          <t>A12</t>
        </is>
      </c>
      <c r="B13" s="6" t="inlineStr">
        <is>
          <t>Coordenação geral</t>
        </is>
      </c>
      <c r="C13" s="6" t="inlineStr">
        <is>
          <t>Acesso e login</t>
        </is>
      </c>
      <c r="D13" s="6" t="inlineStr">
        <is>
          <t>Código vencido</t>
        </is>
      </c>
      <c r="E13" s="6" t="inlineStr">
        <is>
          <t>Código gerado para uma pessoa sem senha</t>
        </is>
      </c>
      <c r="F13" s="6" t="inlineStr">
        <is>
          <t>No SQL Editor: update public.acesso_codigos set expira_em = now() - interval '1 minute'; depois tentar o Primeiro acesso</t>
        </is>
      </c>
      <c r="G13" s="6" t="inlineStr">
        <is>
          <t>Recusado; um código novo funciona</t>
        </is>
      </c>
      <c r="H13" s="6" t="inlineStr">
        <is>
          <t>Alta</t>
        </is>
      </c>
      <c r="I13" s="8" t="n"/>
      <c r="J13" s="8" t="n"/>
      <c r="K13" s="9" t="n"/>
      <c r="L13" s="8" t="inlineStr">
        <is>
          <t>Não testado</t>
        </is>
      </c>
      <c r="M13" s="8" t="n"/>
    </row>
    <row r="14">
      <c r="A14" s="5" t="inlineStr">
        <is>
          <t>A13</t>
        </is>
      </c>
      <c r="B14" s="6" t="inlineStr">
        <is>
          <t>Qualquer perfil novo</t>
        </is>
      </c>
      <c r="C14" s="6" t="inlineStr">
        <is>
          <t>Acesso e login</t>
        </is>
      </c>
      <c r="D14" s="6" t="inlineStr">
        <is>
          <t>E-mail digitado diferente</t>
        </is>
      </c>
      <c r="E14" s="6" t="inlineStr">
        <is>
          <t>Código recebido</t>
        </is>
      </c>
      <c r="F14" s="6" t="inlineStr">
        <is>
          <t>Primeiro acesso com o e-mail em maiúsculas ou com espaço no fim</t>
        </is>
      </c>
      <c r="G14" s="6" t="inlineStr">
        <is>
          <t>Aceita (o sistema ignora maiúsculas e espaços)</t>
        </is>
      </c>
      <c r="H14" s="6" t="inlineStr">
        <is>
          <t>Média</t>
        </is>
      </c>
      <c r="I14" s="8" t="n"/>
      <c r="J14" s="8" t="n"/>
      <c r="K14" s="9" t="n"/>
      <c r="L14" s="8" t="inlineStr">
        <is>
          <t>Não testado</t>
        </is>
      </c>
      <c r="M14" s="8" t="n"/>
    </row>
    <row r="15">
      <c r="A15" s="5" t="inlineStr">
        <is>
          <t>A14</t>
        </is>
      </c>
      <c r="B15" s="6" t="inlineStr">
        <is>
          <t>Bolsista</t>
        </is>
      </c>
      <c r="C15" s="6" t="inlineStr">
        <is>
          <t>Acesso e login</t>
        </is>
      </c>
      <c r="D15" s="6" t="inlineStr">
        <is>
          <t>Sair com envio pendente</t>
        </is>
      </c>
      <c r="E15" s="6" t="inlineStr">
        <is>
          <t>Ficha salva sem internet (S02) e ainda não enviada</t>
        </is>
      </c>
      <c r="F15" s="6" t="inlineStr">
        <is>
          <t>Antes de enviar, tocar em Sair</t>
        </is>
      </c>
      <c r="G15" s="6" t="inlineStr">
        <is>
          <t>Avisa que há registros guardados no aparelho que ainda não foram enviados e pede confirmação</t>
        </is>
      </c>
      <c r="H15" s="6" t="inlineStr">
        <is>
          <t>Alta</t>
        </is>
      </c>
      <c r="I15" s="8" t="n"/>
      <c r="J15" s="8" t="n"/>
      <c r="K15" s="9" t="n"/>
      <c r="L15" s="8" t="inlineStr">
        <is>
          <t>Não testado</t>
        </is>
      </c>
      <c r="M15" s="8" t="n"/>
    </row>
    <row r="16">
      <c r="A16" s="5" t="inlineStr">
        <is>
          <t>C01</t>
        </is>
      </c>
      <c r="B16" s="6" t="inlineStr">
        <is>
          <t>Coordenação geral</t>
        </is>
      </c>
      <c r="C16" s="6" t="inlineStr">
        <is>
          <t>Cadastro da equipe</t>
        </is>
      </c>
      <c r="D16" s="6" t="inlineStr">
        <is>
          <t>Cadastrar coordenação técnica digitando</t>
        </is>
      </c>
      <c r="E16" s="6" t="inlineStr">
        <is>
          <t>Vaga de coordenação técnica aberta</t>
        </is>
      </c>
      <c r="F16" s="6" t="inlineStr">
        <is>
          <t>Equipe → Cadastrar coordenação técnica → Digitar os dados agora → preencher tudo → Cadastrar</t>
        </is>
      </c>
      <c r="G16" s="6" t="inlineStr">
        <is>
          <t>Pessoa aparece na Equipe; Histórico registra quem cadastrou</t>
        </is>
      </c>
      <c r="H16" s="7" t="inlineStr">
        <is>
          <t>Crítica</t>
        </is>
      </c>
      <c r="I16" s="8" t="n"/>
      <c r="J16" s="8" t="n"/>
      <c r="K16" s="9" t="n"/>
      <c r="L16" s="8" t="inlineStr">
        <is>
          <t>Não testado</t>
        </is>
      </c>
      <c r="M16" s="8" t="n"/>
    </row>
    <row r="17">
      <c r="A17" s="5" t="inlineStr">
        <is>
          <t>C02</t>
        </is>
      </c>
      <c r="B17" s="6" t="inlineStr">
        <is>
          <t>Coordenação técnica</t>
        </is>
      </c>
      <c r="C17" s="6" t="inlineStr">
        <is>
          <t>Cadastro da equipe</t>
        </is>
      </c>
      <c r="D17" s="6" t="inlineStr">
        <is>
          <t>Gerar link de cadastro</t>
        </is>
      </c>
      <c r="E17" s="6" t="inlineStr">
        <is>
          <t>Vaga de bolsista aberta</t>
        </is>
      </c>
      <c r="F17" s="6" t="inlineStr">
        <is>
          <t>Tocar na vaga → Gerar link de cadastro</t>
        </is>
      </c>
      <c r="G17" s="6" t="inlineStr">
        <is>
          <t>Cartão "Link pronto" com Enviar pelo WhatsApp e Copiar link</t>
        </is>
      </c>
      <c r="H17" s="6" t="inlineStr">
        <is>
          <t>Alta</t>
        </is>
      </c>
      <c r="I17" s="8" t="n"/>
      <c r="J17" s="8" t="n"/>
      <c r="K17" s="9" t="n"/>
      <c r="L17" s="8" t="inlineStr">
        <is>
          <t>Não testado</t>
        </is>
      </c>
      <c r="M17" s="8" t="n"/>
    </row>
    <row r="18">
      <c r="A18" s="5" t="inlineStr">
        <is>
          <t>C03</t>
        </is>
      </c>
      <c r="B18" s="6" t="inlineStr">
        <is>
          <t>Pessoa convidada</t>
        </is>
      </c>
      <c r="C18" s="6" t="inlineStr">
        <is>
          <t>Cadastro da equipe</t>
        </is>
      </c>
      <c r="D18" s="6" t="inlineStr">
        <is>
          <t>Preencher o link no celular</t>
        </is>
      </c>
      <c r="E18" s="6" t="inlineStr">
        <is>
          <t>Link do C02</t>
        </is>
      </c>
      <c r="F18" s="6" t="inlineStr">
        <is>
          <t>Abrir o link → preencher dados, perfil no campo e endereço → aceitar o termo → Enviar</t>
        </is>
      </c>
      <c r="G18" s="6" t="inlineStr">
        <is>
          <t>Tela "Pronto, recebemos" com os próximos passos; o link não pode ser usado de novo</t>
        </is>
      </c>
      <c r="H18" s="7" t="inlineStr">
        <is>
          <t>Crítica</t>
        </is>
      </c>
      <c r="I18" s="8" t="n"/>
      <c r="J18" s="8" t="n"/>
      <c r="K18" s="9" t="n"/>
      <c r="L18" s="8" t="inlineStr">
        <is>
          <t>Não testado</t>
        </is>
      </c>
      <c r="M18" s="8" t="n"/>
    </row>
    <row r="19">
      <c r="A19" s="5" t="inlineStr">
        <is>
          <t>C04</t>
        </is>
      </c>
      <c r="B19" s="6" t="inlineStr">
        <is>
          <t>Coordenação técnica</t>
        </is>
      </c>
      <c r="C19" s="6" t="inlineStr">
        <is>
          <t>Cadastro da equipe</t>
        </is>
      </c>
      <c r="D19" s="6" t="inlineStr">
        <is>
          <t>Aprovar cadastro recebido pelo link</t>
        </is>
      </c>
      <c r="E19" s="6" t="inlineStr">
        <is>
          <t>C03 feito</t>
        </is>
      </c>
      <c r="F19" s="6" t="inlineStr">
        <is>
          <t>Equipe → Cadastros enviados pelo link → abrir → conferir → completar → salvar</t>
        </is>
      </c>
      <c r="G19" s="6" t="inlineStr">
        <is>
          <t>Vira pessoa ativa na vaga; perfil no campo aparece na ficha</t>
        </is>
      </c>
      <c r="H19" s="7" t="inlineStr">
        <is>
          <t>Crítica</t>
        </is>
      </c>
      <c r="I19" s="8" t="n"/>
      <c r="J19" s="8" t="n"/>
      <c r="K19" s="9" t="n"/>
      <c r="L19" s="8" t="inlineStr">
        <is>
          <t>Não testado</t>
        </is>
      </c>
      <c r="M19" s="8" t="n"/>
    </row>
    <row r="20">
      <c r="A20" s="5" t="inlineStr">
        <is>
          <t>C05</t>
        </is>
      </c>
      <c r="B20" s="6" t="inlineStr">
        <is>
          <t>Coordenação técnica</t>
        </is>
      </c>
      <c r="C20" s="6" t="inlineStr">
        <is>
          <t>Cadastro da equipe</t>
        </is>
      </c>
      <c r="D20" s="6" t="inlineStr">
        <is>
          <t>Máscaras e validação dos campos</t>
        </is>
      </c>
      <c r="E20" s="6" t="inlineStr">
        <is>
          <t>Formulário de cadastro aberto</t>
        </is>
      </c>
      <c r="F20" s="6" t="inlineStr">
        <is>
          <t>Digitar CPF, celular e e-mail com erro (CPF inválido, celular curto, e-mail sem @)</t>
        </is>
      </c>
      <c r="G20" s="6" t="inlineStr">
        <is>
          <t>CPF e celular ganham máscara ao digitar; ao sair do campo aparece o aviso do erro; não deixa salvar</t>
        </is>
      </c>
      <c r="H20" s="6" t="inlineStr">
        <is>
          <t>Alta</t>
        </is>
      </c>
      <c r="I20" s="8" t="n"/>
      <c r="J20" s="8" t="n"/>
      <c r="K20" s="9" t="n"/>
      <c r="L20" s="8" t="inlineStr">
        <is>
          <t>Não testado</t>
        </is>
      </c>
      <c r="M20" s="8" t="n"/>
    </row>
    <row r="21">
      <c r="A21" s="5" t="inlineStr">
        <is>
          <t>C06</t>
        </is>
      </c>
      <c r="B21" s="6" t="inlineStr">
        <is>
          <t>Coordenação técnica</t>
        </is>
      </c>
      <c r="C21" s="6" t="inlineStr">
        <is>
          <t>Cadastro da equipe</t>
        </is>
      </c>
      <c r="D21" s="6" t="inlineStr">
        <is>
          <t>CPF repetido</t>
        </is>
      </c>
      <c r="E21" s="6" t="inlineStr">
        <is>
          <t>Pessoa ativa com o CPF X</t>
        </is>
      </c>
      <c r="F21" s="6" t="inlineStr">
        <is>
          <t>Cadastrar outra pessoa com o mesmo CPF</t>
        </is>
      </c>
      <c r="G21" s="6" t="inlineStr">
        <is>
          <t>Recusa: "Esta pessoa já ocupa outra vaga ativa no projeto"</t>
        </is>
      </c>
      <c r="H21" s="7" t="inlineStr">
        <is>
          <t>Crítica</t>
        </is>
      </c>
      <c r="I21" s="8" t="n"/>
      <c r="J21" s="8" t="n"/>
      <c r="K21" s="9" t="n"/>
      <c r="L21" s="8" t="inlineStr">
        <is>
          <t>Não testado</t>
        </is>
      </c>
      <c r="M21" s="8" t="n"/>
    </row>
    <row r="22">
      <c r="A22" s="5" t="inlineStr">
        <is>
          <t>C07</t>
        </is>
      </c>
      <c r="B22" s="6" t="inlineStr">
        <is>
          <t>Coordenação técnica</t>
        </is>
      </c>
      <c r="C22" s="6" t="inlineStr">
        <is>
          <t>Cadastro da equipe</t>
        </is>
      </c>
      <c r="D22" s="6" t="inlineStr">
        <is>
          <t>Endereço pelo CEP</t>
        </is>
      </c>
      <c r="E22" s="6" t="inlineStr">
        <is>
          <t>Cadastro com "Não" no Arlo</t>
        </is>
      </c>
      <c r="F22" s="6" t="inlineStr">
        <is>
          <t>Digitar um CEP de rua (ex.: capital) e depois um CEP de cidade pequena</t>
        </is>
      </c>
      <c r="G22" s="6" t="inlineStr">
        <is>
          <t>CEP de rua: preenche rua, bairro, cidade e estado e pula para Número. CEP da cidade toda: preenche cidade e estado e avisa para digitar a rua</t>
        </is>
      </c>
      <c r="H22" s="6" t="inlineStr">
        <is>
          <t>Alta</t>
        </is>
      </c>
      <c r="I22" s="8" t="n"/>
      <c r="J22" s="8" t="n"/>
      <c r="K22" s="9" t="n"/>
      <c r="L22" s="8" t="inlineStr">
        <is>
          <t>Não testado</t>
        </is>
      </c>
      <c r="M22" s="8" t="n"/>
    </row>
    <row r="23">
      <c r="A23" s="5" t="inlineStr">
        <is>
          <t>C08</t>
        </is>
      </c>
      <c r="B23" s="6" t="inlineStr">
        <is>
          <t>Coordenação técnica</t>
        </is>
      </c>
      <c r="C23" s="6" t="inlineStr">
        <is>
          <t>Cadastro da equipe</t>
        </is>
      </c>
      <c r="D23" s="6" t="inlineStr">
        <is>
          <t>Perfil da bolsista antes de cadastrar</t>
        </is>
      </c>
      <c r="E23" s="6" t="inlineStr">
        <is>
          <t>Cadastrar bolsista digitando</t>
        </is>
      </c>
      <c r="F23" s="6" t="inlineStr">
        <is>
          <t>Rolar até o fim do formulário</t>
        </is>
      </c>
      <c r="G23" s="6" t="inlineStr">
        <is>
          <t>Aparece o bloco "Perfil da bolsista" do Guia antes do botão Cadastrar</t>
        </is>
      </c>
      <c r="H23" s="6" t="inlineStr">
        <is>
          <t>Média</t>
        </is>
      </c>
      <c r="I23" s="8" t="n"/>
      <c r="J23" s="8" t="n"/>
      <c r="K23" s="9" t="n"/>
      <c r="L23" s="8" t="inlineStr">
        <is>
          <t>Não testado</t>
        </is>
      </c>
      <c r="M23" s="8" t="n"/>
    </row>
    <row r="24">
      <c r="A24" s="5" t="inlineStr">
        <is>
          <t>C09</t>
        </is>
      </c>
      <c r="B24" s="6" t="inlineStr">
        <is>
          <t>Pessoa convidada</t>
        </is>
      </c>
      <c r="C24" s="6" t="inlineStr">
        <is>
          <t>Cadastro da equipe</t>
        </is>
      </c>
      <c r="D24" s="6" t="inlineStr">
        <is>
          <t>Perfil no campo obrigatório pelo link</t>
        </is>
      </c>
      <c r="E24" s="6" t="inlineStr">
        <is>
          <t>Link de bolsista ou agente</t>
        </is>
      </c>
      <c r="F24" s="6" t="inlineStr">
        <is>
          <t>Preencher tudo, mas deixar as perguntas do perfil no campo sem resposta → Enviar</t>
        </is>
      </c>
      <c r="G24" s="6" t="inlineStr">
        <is>
          <t>Não envia; marca as perguntas sem resposta</t>
        </is>
      </c>
      <c r="H24" s="6" t="inlineStr">
        <is>
          <t>Alta</t>
        </is>
      </c>
      <c r="I24" s="8" t="n"/>
      <c r="J24" s="8" t="n"/>
      <c r="K24" s="9" t="n"/>
      <c r="L24" s="8" t="inlineStr">
        <is>
          <t>Não testado</t>
        </is>
      </c>
      <c r="M24" s="8" t="n"/>
    </row>
    <row r="25">
      <c r="A25" s="5" t="inlineStr">
        <is>
          <t>C10</t>
        </is>
      </c>
      <c r="B25" s="6" t="inlineStr">
        <is>
          <t>Coordenação técnica</t>
        </is>
      </c>
      <c r="C25" s="6" t="inlineStr">
        <is>
          <t>Cadastro da equipe</t>
        </is>
      </c>
      <c r="D25" s="6" t="inlineStr">
        <is>
          <t>Vaga já ocupada</t>
        </is>
      </c>
      <c r="E25" s="6" t="inlineStr">
        <is>
          <t>Articulação ativa no estado</t>
        </is>
      </c>
      <c r="F25" s="6" t="inlineStr">
        <is>
          <t>Tentar cadastrar outra articulação no mesmo estado</t>
        </is>
      </c>
      <c r="G25" s="6" t="inlineStr">
        <is>
          <t>Não permite: é preciso desligar a atual antes</t>
        </is>
      </c>
      <c r="H25" s="6" t="inlineStr">
        <is>
          <t>Alta</t>
        </is>
      </c>
      <c r="I25" s="8" t="n"/>
      <c r="J25" s="8" t="n"/>
      <c r="K25" s="9" t="n"/>
      <c r="L25" s="8" t="inlineStr">
        <is>
          <t>Não testado</t>
        </is>
      </c>
      <c r="M25" s="8" t="n"/>
    </row>
    <row r="26">
      <c r="A26" s="5" t="inlineStr">
        <is>
          <t>C11</t>
        </is>
      </c>
      <c r="B26" s="6" t="inlineStr">
        <is>
          <t>Coordenação técnica</t>
        </is>
      </c>
      <c r="C26" s="6" t="inlineStr">
        <is>
          <t>Cadastro da equipe</t>
        </is>
      </c>
      <c r="D26" s="6" t="inlineStr">
        <is>
          <t>Desligar e cadastrar substituta</t>
        </is>
      </c>
      <c r="E26" s="6" t="inlineStr">
        <is>
          <t>Bolsista ativa</t>
        </is>
      </c>
      <c r="F26" s="6" t="inlineStr">
        <is>
          <t>Ficha → Desligar (com motivo) → na vaga, Cadastrar substituta</t>
        </is>
      </c>
      <c r="G26" s="6" t="inlineStr">
        <is>
          <t>Vaga fica livre; a substituta mostra quem ela substitui; Histórico registra</t>
        </is>
      </c>
      <c r="H26" s="6" t="inlineStr">
        <is>
          <t>Alta</t>
        </is>
      </c>
      <c r="I26" s="8" t="n"/>
      <c r="J26" s="8" t="n"/>
      <c r="K26" s="9" t="n"/>
      <c r="L26" s="8" t="inlineStr">
        <is>
          <t>Não testado</t>
        </is>
      </c>
      <c r="M26" s="8" t="n"/>
    </row>
    <row r="27">
      <c r="A27" s="5" t="inlineStr">
        <is>
          <t>C12</t>
        </is>
      </c>
      <c r="B27" s="6" t="inlineStr">
        <is>
          <t>Auxiliar administrativo</t>
        </is>
      </c>
      <c r="C27" s="6" t="inlineStr">
        <is>
          <t>Cadastro da equipe</t>
        </is>
      </c>
      <c r="D27" s="6" t="inlineStr">
        <is>
          <t>Registrar Arlo e termo</t>
        </is>
      </c>
      <c r="E27" s="6" t="inlineStr">
        <is>
          <t>Pessoa sem Arlo registrado</t>
        </is>
      </c>
      <c r="F27" s="6" t="inlineStr">
        <is>
          <t>Ficha → Registrar passos da habilitação → Hoje (Arlo) → Hoje (termo) → anexar termo → Salvar</t>
        </is>
      </c>
      <c r="G27" s="6" t="inlineStr">
        <is>
          <t>Habilitação avança; data no futuro é recusada</t>
        </is>
      </c>
      <c r="H27" s="7" t="inlineStr">
        <is>
          <t>Crítica</t>
        </is>
      </c>
      <c r="I27" s="8" t="n"/>
      <c r="J27" s="8" t="n"/>
      <c r="K27" s="9" t="n"/>
      <c r="L27" s="8" t="inlineStr">
        <is>
          <t>Não testado</t>
        </is>
      </c>
      <c r="M27" s="8" t="n"/>
    </row>
    <row r="28">
      <c r="A28" s="5" t="inlineStr">
        <is>
          <t>C13</t>
        </is>
      </c>
      <c r="B28" s="6" t="inlineStr">
        <is>
          <t>Auxiliar administrativo</t>
        </is>
      </c>
      <c r="C28" s="6" t="inlineStr">
        <is>
          <t>Cadastro da equipe</t>
        </is>
      </c>
      <c r="D28" s="6" t="inlineStr">
        <is>
          <t>Ver conta bancária para o Arlo</t>
        </is>
      </c>
      <c r="E28" s="6" t="inlineStr">
        <is>
          <t>Pessoa que informou conta</t>
        </is>
      </c>
      <c r="F28" s="6" t="inlineStr">
        <is>
          <t>Ficha → Ver conta e Pix</t>
        </is>
      </c>
      <c r="G28" s="6" t="inlineStr">
        <is>
          <t>Mostra a conta; o Histórico registra a consulta com nome e hora</t>
        </is>
      </c>
      <c r="H28" s="6" t="inlineStr">
        <is>
          <t>Alta</t>
        </is>
      </c>
      <c r="I28" s="8" t="n"/>
      <c r="J28" s="8" t="n"/>
      <c r="K28" s="9" t="n"/>
      <c r="L28" s="8" t="inlineStr">
        <is>
          <t>Não testado</t>
        </is>
      </c>
      <c r="M28" s="8" t="n"/>
    </row>
    <row r="29">
      <c r="A29" s="5" t="inlineStr">
        <is>
          <t>C14</t>
        </is>
      </c>
      <c r="B29" s="6" t="inlineStr">
        <is>
          <t>Coordenação técnica</t>
        </is>
      </c>
      <c r="C29" s="6" t="inlineStr">
        <is>
          <t>Cadastro da equipe</t>
        </is>
      </c>
      <c r="D29" s="6" t="inlineStr">
        <is>
          <t>Editar cadastro</t>
        </is>
      </c>
      <c r="E29" s="6" t="inlineStr">
        <is>
          <t>Pessoa ativa</t>
        </is>
      </c>
      <c r="F29" s="6" t="inlineStr">
        <is>
          <t>Ficha → Editar dados → mudar o celular → salvar</t>
        </is>
      </c>
      <c r="G29" s="6" t="inlineStr">
        <is>
          <t>Celular muda; o CPF não pode ser editado</t>
        </is>
      </c>
      <c r="H29" s="6" t="inlineStr">
        <is>
          <t>Média</t>
        </is>
      </c>
      <c r="I29" s="8" t="n"/>
      <c r="J29" s="8" t="n"/>
      <c r="K29" s="9" t="n"/>
      <c r="L29" s="8" t="inlineStr">
        <is>
          <t>Não testado</t>
        </is>
      </c>
      <c r="M29" s="8" t="n"/>
    </row>
    <row r="30">
      <c r="A30" s="5" t="inlineStr">
        <is>
          <t>C15</t>
        </is>
      </c>
      <c r="B30" s="6" t="inlineStr">
        <is>
          <t>Coordenação técnica</t>
        </is>
      </c>
      <c r="C30" s="6" t="inlineStr">
        <is>
          <t>Cadastro da equipe</t>
        </is>
      </c>
      <c r="D30" s="6" t="inlineStr">
        <is>
          <t>Cadastrar agente de campo</t>
        </is>
      </c>
      <c r="E30" s="6" t="inlineStr">
        <is>
          <t>—</t>
        </is>
      </c>
      <c r="F30" s="6" t="inlineStr">
        <is>
          <t>Agentes de campo → + Agente em PI → cadastrar</t>
        </is>
      </c>
      <c r="G30" s="6" t="inlineStr">
        <is>
          <t>Agente aparece no cartão do PI, sem limite de vagas</t>
        </is>
      </c>
      <c r="H30" s="6" t="inlineStr">
        <is>
          <t>Alta</t>
        </is>
      </c>
      <c r="I30" s="8" t="n"/>
      <c r="J30" s="8" t="n"/>
      <c r="K30" s="9" t="n"/>
      <c r="L30" s="8" t="inlineStr">
        <is>
          <t>Não testado</t>
        </is>
      </c>
      <c r="M30" s="8" t="n"/>
    </row>
    <row r="31">
      <c r="A31" s="5" t="inlineStr">
        <is>
          <t>C16</t>
        </is>
      </c>
      <c r="B31" s="6" t="inlineStr">
        <is>
          <t>Pessoa convidada</t>
        </is>
      </c>
      <c r="C31" s="6" t="inlineStr">
        <is>
          <t>Cadastro da equipe</t>
        </is>
      </c>
      <c r="D31" s="6" t="inlineStr">
        <is>
          <t>Link vencido ou já usado</t>
        </is>
      </c>
      <c r="E31" s="6" t="inlineStr">
        <is>
          <t>Link já enviado</t>
        </is>
      </c>
      <c r="F31" s="6" t="inlineStr">
        <is>
          <t>Abrir o mesmo link de novo</t>
        </is>
      </c>
      <c r="G31" s="6" t="inlineStr">
        <is>
          <t>"Link sem validade", com orientação para pedir outro</t>
        </is>
      </c>
      <c r="H31" s="6" t="inlineStr">
        <is>
          <t>Alta</t>
        </is>
      </c>
      <c r="I31" s="8" t="n"/>
      <c r="J31" s="8" t="n"/>
      <c r="K31" s="9" t="n"/>
      <c r="L31" s="8" t="inlineStr">
        <is>
          <t>Não testado</t>
        </is>
      </c>
      <c r="M31" s="8" t="n"/>
    </row>
    <row r="32">
      <c r="A32" s="5" t="inlineStr">
        <is>
          <t>C17</t>
        </is>
      </c>
      <c r="B32" s="6" t="inlineStr">
        <is>
          <t>Coordenação técnica</t>
        </is>
      </c>
      <c r="C32" s="6" t="inlineStr">
        <is>
          <t>Cadastro da equipe</t>
        </is>
      </c>
      <c r="D32" s="6" t="inlineStr">
        <is>
          <t>Cadastro fora da sua alçada</t>
        </is>
      </c>
      <c r="E32" s="6" t="inlineStr">
        <is>
          <t>—</t>
        </is>
      </c>
      <c r="F32" s="6" t="inlineStr">
        <is>
          <t>Procurar cadastrar professor, auxiliar ou coordenação técnica</t>
        </is>
      </c>
      <c r="G32" s="6" t="inlineStr">
        <is>
          <t>Os botões não aparecem (só a coordenação geral cadastra)</t>
        </is>
      </c>
      <c r="H32" s="6" t="inlineStr">
        <is>
          <t>Alta</t>
        </is>
      </c>
      <c r="I32" s="8" t="n"/>
      <c r="J32" s="8" t="n"/>
      <c r="K32" s="9" t="n"/>
      <c r="L32" s="8" t="inlineStr">
        <is>
          <t>Não testado</t>
        </is>
      </c>
      <c r="M32" s="8" t="n"/>
    </row>
    <row r="33">
      <c r="A33" s="5" t="inlineStr">
        <is>
          <t>P01</t>
        </is>
      </c>
      <c r="B33" s="6" t="inlineStr">
        <is>
          <t>Bolsista</t>
        </is>
      </c>
      <c r="C33" s="6" t="inlineStr">
        <is>
          <t>Pendências, guia e ajuda</t>
        </is>
      </c>
      <c r="D33" s="6" t="inlineStr">
        <is>
          <t>Cobrança de pendências</t>
        </is>
      </c>
      <c r="E33" s="6" t="inlineStr">
        <is>
          <t>Cadastro sem conta bancária</t>
        </is>
      </c>
      <c r="F33" s="6" t="inlineStr">
        <is>
          <t>Entrar no sistema</t>
        </is>
      </c>
      <c r="G33" s="6" t="inlineStr">
        <is>
          <t>Abre o painel de pendências uma vez por sessão e mostra a faixa de aviso no topo</t>
        </is>
      </c>
      <c r="H33" s="6" t="inlineStr">
        <is>
          <t>Alta</t>
        </is>
      </c>
      <c r="I33" s="8" t="n"/>
      <c r="J33" s="8" t="n"/>
      <c r="K33" s="9" t="n"/>
      <c r="L33" s="8" t="inlineStr">
        <is>
          <t>Não testado</t>
        </is>
      </c>
      <c r="M33" s="8" t="n"/>
    </row>
    <row r="34">
      <c r="A34" s="5" t="inlineStr">
        <is>
          <t>P02</t>
        </is>
      </c>
      <c r="B34" s="6" t="inlineStr">
        <is>
          <t>Bolsista</t>
        </is>
      </c>
      <c r="C34" s="6" t="inlineStr">
        <is>
          <t>Pendências, guia e ajuda</t>
        </is>
      </c>
      <c r="D34" s="6" t="inlineStr">
        <is>
          <t>Informar conta bancária</t>
        </is>
      </c>
      <c r="E34" s="6" t="inlineStr">
        <is>
          <t>P01</t>
        </is>
      </c>
      <c r="F34" s="6" t="inlineStr">
        <is>
          <t>Resolver a pendência da conta (ou Meus dados → conta) → Salvar</t>
        </is>
      </c>
      <c r="G34" s="6" t="inlineStr">
        <is>
          <t>Pendência some; na tela, aparece como habilitada quando não faltar mais nada</t>
        </is>
      </c>
      <c r="H34" s="6" t="inlineStr">
        <is>
          <t>Alta</t>
        </is>
      </c>
      <c r="I34" s="8" t="n"/>
      <c r="J34" s="8" t="n"/>
      <c r="K34" s="9" t="n"/>
      <c r="L34" s="8" t="inlineStr">
        <is>
          <t>Não testado</t>
        </is>
      </c>
      <c r="M34" s="8" t="n"/>
    </row>
    <row r="35">
      <c r="A35" s="5" t="inlineStr">
        <is>
          <t>P03</t>
        </is>
      </c>
      <c r="B35" s="6" t="inlineStr">
        <is>
          <t>Bolsista</t>
        </is>
      </c>
      <c r="C35" s="6" t="inlineStr">
        <is>
          <t>Pendências, guia e ajuda</t>
        </is>
      </c>
      <c r="D35" s="6" t="inlineStr">
        <is>
          <t>Li e entendi (guia da bolsista)</t>
        </is>
      </c>
      <c r="E35" s="6" t="inlineStr">
        <is>
          <t>Primeiro acesso</t>
        </is>
      </c>
      <c r="F35" s="6" t="inlineStr">
        <is>
          <t>Ler o bloco "Antes de começar" → Li e entendi</t>
        </is>
      </c>
      <c r="G35" s="6" t="inlineStr">
        <is>
          <t>Bloco some e não volta; na ficha dela a coordenação vê "Leu e entendeu em [data e hora]"</t>
        </is>
      </c>
      <c r="H35" s="6" t="inlineStr">
        <is>
          <t>Alta</t>
        </is>
      </c>
      <c r="I35" s="8" t="n"/>
      <c r="J35" s="8" t="n"/>
      <c r="K35" s="9" t="n"/>
      <c r="L35" s="8" t="inlineStr">
        <is>
          <t>Não testado</t>
        </is>
      </c>
      <c r="M35" s="8" t="n"/>
    </row>
    <row r="36">
      <c r="A36" s="5" t="inlineStr">
        <is>
          <t>P04</t>
        </is>
      </c>
      <c r="B36" s="6" t="inlineStr">
        <is>
          <t>Agente de campo</t>
        </is>
      </c>
      <c r="C36" s="6" t="inlineStr">
        <is>
          <t>Pendências, guia e ajuda</t>
        </is>
      </c>
      <c r="D36" s="6" t="inlineStr">
        <is>
          <t>Li e entendi (versão agente)</t>
        </is>
      </c>
      <c r="E36" s="6" t="inlineStr">
        <is>
          <t>Primeiro acesso da agente</t>
        </is>
      </c>
      <c r="F36" s="6" t="inlineStr">
        <is>
          <t>Ler o bloco → Li e entendi</t>
        </is>
      </c>
      <c r="G36" s="6" t="inlineStr">
        <is>
          <t>Texto fala de ajuda de custo por visita (não de bolsa); leitura registrada</t>
        </is>
      </c>
      <c r="H36" s="6" t="inlineStr">
        <is>
          <t>Alta</t>
        </is>
      </c>
      <c r="I36" s="8" t="n"/>
      <c r="J36" s="8" t="n"/>
      <c r="K36" s="9" t="n"/>
      <c r="L36" s="8" t="inlineStr">
        <is>
          <t>Não testado</t>
        </is>
      </c>
      <c r="M36" s="8" t="n"/>
    </row>
    <row r="37">
      <c r="A37" s="5" t="inlineStr">
        <is>
          <t>P05</t>
        </is>
      </c>
      <c r="B37" s="6" t="inlineStr">
        <is>
          <t>Todos</t>
        </is>
      </c>
      <c r="C37" s="6" t="inlineStr">
        <is>
          <t>Pendências, guia e ajuda</t>
        </is>
      </c>
      <c r="D37" s="6" t="inlineStr">
        <is>
          <t>Ajuda de cada tela</t>
        </is>
      </c>
      <c r="E37" s="6" t="inlineStr">
        <is>
          <t>Qualquer tela</t>
        </is>
      </c>
      <c r="F37" s="6" t="inlineStr">
        <is>
          <t>Tocar em ? no alto</t>
        </is>
      </c>
      <c r="G37" s="6" t="inlineStr">
        <is>
          <t>Abre a ajuda da tela em que a pessoa está, com Guia (bolsista/agente) e Dicas para usar o sistema</t>
        </is>
      </c>
      <c r="H37" s="6" t="inlineStr">
        <is>
          <t>Média</t>
        </is>
      </c>
      <c r="I37" s="8" t="n"/>
      <c r="J37" s="8" t="n"/>
      <c r="K37" s="9" t="n"/>
      <c r="L37" s="8" t="inlineStr">
        <is>
          <t>Não testado</t>
        </is>
      </c>
      <c r="M37" s="8" t="n"/>
    </row>
    <row r="38">
      <c r="A38" s="5" t="inlineStr">
        <is>
          <t>P06</t>
        </is>
      </c>
      <c r="B38" s="6" t="inlineStr">
        <is>
          <t>Todos</t>
        </is>
      </c>
      <c r="C38" s="6" t="inlineStr">
        <is>
          <t>Pendências, guia e ajuda</t>
        </is>
      </c>
      <c r="D38" s="6" t="inlineStr">
        <is>
          <t>Meus dados</t>
        </is>
      </c>
      <c r="E38" s="6" t="inlineStr">
        <is>
          <t>Qualquer perfil</t>
        </is>
      </c>
      <c r="F38" s="6" t="inlineStr">
        <is>
          <t>Tocar na própria foto/iniciais no alto</t>
        </is>
      </c>
      <c r="G38" s="6" t="inlineStr">
        <is>
          <t>Abre Meus dados com celular, endereço e conta bancária</t>
        </is>
      </c>
      <c r="H38" s="6" t="inlineStr">
        <is>
          <t>Média</t>
        </is>
      </c>
      <c r="I38" s="8" t="n"/>
      <c r="J38" s="8" t="n"/>
      <c r="K38" s="9" t="n"/>
      <c r="L38" s="8" t="inlineStr">
        <is>
          <t>Não testado</t>
        </is>
      </c>
      <c r="M38" s="8" t="n"/>
    </row>
    <row r="39">
      <c r="A39" s="5" t="inlineStr">
        <is>
          <t>P07</t>
        </is>
      </c>
      <c r="B39" s="6" t="inlineStr">
        <is>
          <t>Bolsista</t>
        </is>
      </c>
      <c r="C39" s="6" t="inlineStr">
        <is>
          <t>Pendências, guia e ajuda</t>
        </is>
      </c>
      <c r="D39" s="6" t="inlineStr">
        <is>
          <t>Faixa de aviso some</t>
        </is>
      </c>
      <c r="E39" s="6" t="inlineStr">
        <is>
          <t>P01 e P02 feitos, sem outra pendência</t>
        </is>
      </c>
      <c r="F39" s="6" t="inlineStr">
        <is>
          <t>Recarregar a página</t>
        </is>
      </c>
      <c r="G39" s="6" t="inlineStr">
        <is>
          <t>A faixa de pendências no topo não aparece mais</t>
        </is>
      </c>
      <c r="H39" s="6" t="inlineStr">
        <is>
          <t>Média</t>
        </is>
      </c>
      <c r="I39" s="8" t="n"/>
      <c r="J39" s="8" t="n"/>
      <c r="K39" s="9" t="n"/>
      <c r="L39" s="8" t="inlineStr">
        <is>
          <t>Não testado</t>
        </is>
      </c>
      <c r="M39" s="8" t="n"/>
    </row>
    <row r="40">
      <c r="A40" s="5" t="inlineStr">
        <is>
          <t>S01</t>
        </is>
      </c>
      <c r="B40" s="6" t="inlineStr">
        <is>
          <t>Bolsista</t>
        </is>
      </c>
      <c r="C40" s="6" t="inlineStr">
        <is>
          <t>Seleção das mulheres</t>
        </is>
      </c>
      <c r="D40" s="6" t="inlineStr">
        <is>
          <t>Nova ficha completa com internet</t>
        </is>
      </c>
      <c r="E40" s="6" t="inlineStr">
        <is>
          <t>Bolsista habilitada</t>
        </is>
      </c>
      <c r="F40" s="6" t="inlineStr">
        <is>
          <t>+ Nova ficha → dados, critérios, termo, fotos da ficha e do termo, localização → Salvar ficha</t>
        </is>
      </c>
      <c r="G40" s="6" t="inlineStr">
        <is>
          <t>Ficha aparece como "Aguardando aprovação"</t>
        </is>
      </c>
      <c r="H40" s="7" t="inlineStr">
        <is>
          <t>Crítica</t>
        </is>
      </c>
      <c r="I40" s="8" t="n"/>
      <c r="J40" s="8" t="n"/>
      <c r="K40" s="9" t="n"/>
      <c r="L40" s="8" t="inlineStr">
        <is>
          <t>Não testado</t>
        </is>
      </c>
      <c r="M40" s="8" t="n"/>
    </row>
    <row r="41">
      <c r="A41" s="5" t="inlineStr">
        <is>
          <t>S02</t>
        </is>
      </c>
      <c r="B41" s="6" t="inlineStr">
        <is>
          <t>Bolsista</t>
        </is>
      </c>
      <c r="C41" s="6" t="inlineStr">
        <is>
          <t>Seleção das mulheres</t>
        </is>
      </c>
      <c r="D41" s="6" t="inlineStr">
        <is>
          <t>Ficha sem internet</t>
        </is>
      </c>
      <c r="E41" s="6" t="inlineStr">
        <is>
          <t>Celular em modo avião</t>
        </is>
      </c>
      <c r="F41" s="6" t="inlineStr">
        <is>
          <t>+ Nova ficha → preencher com fotos → Salvar → ligar a internet</t>
        </is>
      </c>
      <c r="G41" s="6" t="inlineStr">
        <is>
          <t>Sem internet: aviso "guardado neste aparelho". Com internet: envia sozinho (ou Enviar agora) e aparece para a coordenação</t>
        </is>
      </c>
      <c r="H41" s="7" t="inlineStr">
        <is>
          <t>Crítica</t>
        </is>
      </c>
      <c r="I41" s="8" t="n"/>
      <c r="J41" s="8" t="n"/>
      <c r="K41" s="9" t="n"/>
      <c r="L41" s="8" t="inlineStr">
        <is>
          <t>Não testado</t>
        </is>
      </c>
      <c r="M41" s="8" t="n"/>
    </row>
    <row r="42">
      <c r="A42" s="5" t="inlineStr">
        <is>
          <t>S03</t>
        </is>
      </c>
      <c r="B42" s="6" t="inlineStr">
        <is>
          <t>Bolsista</t>
        </is>
      </c>
      <c r="C42" s="6" t="inlineStr">
        <is>
          <t>Seleção das mulheres</t>
        </is>
      </c>
      <c r="D42" s="6" t="inlineStr">
        <is>
          <t>Critério obrigatório "Não"</t>
        </is>
      </c>
      <c r="E42" s="6" t="inlineStr">
        <is>
          <t>Ficha aberta</t>
        </is>
      </c>
      <c r="F42" s="6" t="inlineStr">
        <is>
          <t>Marcar "Não" em um critério obrigatório</t>
        </is>
      </c>
      <c r="G42" s="6" t="inlineStr">
        <is>
          <t>Só permite o resultado "Não atende aos critérios"</t>
        </is>
      </c>
      <c r="H42" s="6" t="inlineStr">
        <is>
          <t>Alta</t>
        </is>
      </c>
      <c r="I42" s="8" t="n"/>
      <c r="J42" s="8" t="n"/>
      <c r="K42" s="9" t="n"/>
      <c r="L42" s="8" t="inlineStr">
        <is>
          <t>Não testado</t>
        </is>
      </c>
      <c r="M42" s="8" t="n"/>
    </row>
    <row r="43">
      <c r="A43" s="5" t="inlineStr">
        <is>
          <t>S04</t>
        </is>
      </c>
      <c r="B43" s="6" t="inlineStr">
        <is>
          <t>Bolsista</t>
        </is>
      </c>
      <c r="C43" s="6" t="inlineStr">
        <is>
          <t>Seleção das mulheres</t>
        </is>
      </c>
      <c r="D43" s="6" t="inlineStr">
        <is>
          <t>Possível duplicidade</t>
        </is>
      </c>
      <c r="E43" s="6" t="inlineStr">
        <is>
          <t>Já existe ficha com o mesmo CPF ou endereço</t>
        </is>
      </c>
      <c r="F43" s="6" t="inlineStr">
        <is>
          <t>Lançar outra ficha com o mesmo CPF ou endereço</t>
        </is>
      </c>
      <c r="G43" s="6" t="inlineStr">
        <is>
          <t>Sistema avisa a possível duplicidade</t>
        </is>
      </c>
      <c r="H43" s="7" t="inlineStr">
        <is>
          <t>Crítica</t>
        </is>
      </c>
      <c r="I43" s="8" t="n"/>
      <c r="J43" s="8" t="n"/>
      <c r="K43" s="9" t="n"/>
      <c r="L43" s="8" t="inlineStr">
        <is>
          <t>Não testado</t>
        </is>
      </c>
      <c r="M43" s="8" t="n"/>
    </row>
    <row r="44">
      <c r="A44" s="5" t="inlineStr">
        <is>
          <t>S05</t>
        </is>
      </c>
      <c r="B44" s="6" t="inlineStr">
        <is>
          <t>Coordenação técnica</t>
        </is>
      </c>
      <c r="C44" s="6" t="inlineStr">
        <is>
          <t>Seleção das mulheres</t>
        </is>
      </c>
      <c r="D44" s="6" t="inlineStr">
        <is>
          <t>Aprovar e devolver fichas</t>
        </is>
      </c>
      <c r="E44" s="6" t="inlineStr">
        <is>
          <t>Duas fichas aguardando</t>
        </is>
      </c>
      <c r="F44" s="6" t="inlineStr">
        <is>
          <t>Aprovar uma; devolver a outra dizendo o que corrigir</t>
        </is>
      </c>
      <c r="G44" s="6" t="inlineStr">
        <is>
          <t>A bolsista vê a devolvida em "Para corrigir", com o motivo</t>
        </is>
      </c>
      <c r="H44" s="7" t="inlineStr">
        <is>
          <t>Crítica</t>
        </is>
      </c>
      <c r="I44" s="8" t="n"/>
      <c r="J44" s="8" t="n"/>
      <c r="K44" s="9" t="n"/>
      <c r="L44" s="8" t="inlineStr">
        <is>
          <t>Não testado</t>
        </is>
      </c>
      <c r="M44" s="8" t="n"/>
    </row>
    <row r="45">
      <c r="A45" s="5" t="inlineStr">
        <is>
          <t>S06</t>
        </is>
      </c>
      <c r="B45" s="6" t="inlineStr">
        <is>
          <t>Coordenação técnica</t>
        </is>
      </c>
      <c r="C45" s="6" t="inlineStr">
        <is>
          <t>Seleção das mulheres</t>
        </is>
      </c>
      <c r="D45" s="6" t="inlineStr">
        <is>
          <t>Limite de 40 por estado</t>
        </is>
      </c>
      <c r="E45" s="6" t="inlineStr">
        <is>
          <t>40 selecionadas aprovadas no estado</t>
        </is>
      </c>
      <c r="F45" s="6" t="inlineStr">
        <is>
          <t>Tentar aprovar mais uma como selecionada</t>
        </is>
      </c>
      <c r="G45" s="6" t="inlineStr">
        <is>
          <t>Não ocupa vaga além de 40 (vai para a lista de espera)</t>
        </is>
      </c>
      <c r="H45" s="6" t="inlineStr">
        <is>
          <t>Alta</t>
        </is>
      </c>
      <c r="I45" s="8" t="n"/>
      <c r="J45" s="8" t="n"/>
      <c r="K45" s="9" t="n"/>
      <c r="L45" s="8" t="inlineStr">
        <is>
          <t>Não testado</t>
        </is>
      </c>
      <c r="M45" s="8" t="n"/>
    </row>
    <row r="46">
      <c r="A46" s="5" t="inlineStr">
        <is>
          <t>S07</t>
        </is>
      </c>
      <c r="B46" s="6" t="inlineStr">
        <is>
          <t>Bolsista</t>
        </is>
      </c>
      <c r="C46" s="6" t="inlineStr">
        <is>
          <t>Seleção das mulheres</t>
        </is>
      </c>
      <c r="D46" s="6" t="inlineStr">
        <is>
          <t>Localização negada</t>
        </is>
      </c>
      <c r="E46" s="6" t="inlineStr">
        <is>
          <t>Bloquear a localização para o site</t>
        </is>
      </c>
      <c r="F46" s="6" t="inlineStr">
        <is>
          <t>Registrar localização</t>
        </is>
      </c>
      <c r="G46" s="6" t="inlineStr">
        <is>
          <t>Explica como liberar no celular e deixa explicar o motivo no campo "Sem localização?"</t>
        </is>
      </c>
      <c r="H46" s="6" t="inlineStr">
        <is>
          <t>Alta</t>
        </is>
      </c>
      <c r="I46" s="8" t="n"/>
      <c r="J46" s="8" t="n"/>
      <c r="K46" s="9" t="n"/>
      <c r="L46" s="8" t="inlineStr">
        <is>
          <t>Não testado</t>
        </is>
      </c>
      <c r="M46" s="8" t="n"/>
    </row>
    <row r="47">
      <c r="A47" s="5" t="inlineStr">
        <is>
          <t>S08</t>
        </is>
      </c>
      <c r="B47" s="6" t="inlineStr">
        <is>
          <t>Bolsista</t>
        </is>
      </c>
      <c r="C47" s="6" t="inlineStr">
        <is>
          <t>Seleção das mulheres</t>
        </is>
      </c>
      <c r="D47" s="6" t="inlineStr">
        <is>
          <t>Sem autorização de uso dos dados</t>
        </is>
      </c>
      <c r="E47" s="6" t="inlineStr">
        <is>
          <t>Ficha aberta</t>
        </is>
      </c>
      <c r="F47" s="6" t="inlineStr">
        <is>
          <t>Marcar "Não autorizo" no uso dos dados → Salvar</t>
        </is>
      </c>
      <c r="G47" s="6" t="inlineStr">
        <is>
          <t>Não salva: "Sem a autorização de uso dos dados, a ficha não pode ser registrada"</t>
        </is>
      </c>
      <c r="H47" s="7" t="inlineStr">
        <is>
          <t>Crítica</t>
        </is>
      </c>
      <c r="I47" s="8" t="n"/>
      <c r="J47" s="8" t="n"/>
      <c r="K47" s="9" t="n"/>
      <c r="L47" s="8" t="inlineStr">
        <is>
          <t>Não testado</t>
        </is>
      </c>
      <c r="M47" s="8" t="n"/>
    </row>
    <row r="48">
      <c r="A48" s="5" t="inlineStr">
        <is>
          <t>S09</t>
        </is>
      </c>
      <c r="B48" s="6" t="inlineStr">
        <is>
          <t>Bolsista</t>
        </is>
      </c>
      <c r="C48" s="6" t="inlineStr">
        <is>
          <t>Seleção das mulheres</t>
        </is>
      </c>
      <c r="D48" s="6" t="inlineStr">
        <is>
          <t>Corrigir ficha devolvida</t>
        </is>
      </c>
      <c r="E48" s="6" t="inlineStr">
        <is>
          <t>Ficha devolvida (S05)</t>
        </is>
      </c>
      <c r="F48" s="6" t="inlineStr">
        <is>
          <t>Para corrigir → abrir → corrigir → Salvar</t>
        </is>
      </c>
      <c r="G48" s="6" t="inlineStr">
        <is>
          <t>Volta para "Aguardando aprovação"</t>
        </is>
      </c>
      <c r="H48" s="6" t="inlineStr">
        <is>
          <t>Alta</t>
        </is>
      </c>
      <c r="I48" s="8" t="n"/>
      <c r="J48" s="8" t="n"/>
      <c r="K48" s="9" t="n"/>
      <c r="L48" s="8" t="inlineStr">
        <is>
          <t>Não testado</t>
        </is>
      </c>
      <c r="M48" s="8" t="n"/>
    </row>
    <row r="49">
      <c r="A49" s="5" t="inlineStr">
        <is>
          <t>S10</t>
        </is>
      </c>
      <c r="B49" s="6" t="inlineStr">
        <is>
          <t>Coordenação técnica</t>
        </is>
      </c>
      <c r="C49" s="6" t="inlineStr">
        <is>
          <t>Seleção das mulheres</t>
        </is>
      </c>
      <c r="D49" s="6" t="inlineStr">
        <is>
          <t>Lista de espera</t>
        </is>
      </c>
      <c r="E49" s="6" t="inlineStr">
        <is>
          <t>Fichas em lista de espera</t>
        </is>
      </c>
      <c r="F49" s="6" t="inlineStr">
        <is>
          <t>Ver a lista de espera do estado</t>
        </is>
      </c>
      <c r="G49" s="6" t="inlineStr">
        <is>
          <t>Ordenadas pela pontuação de prioridade</t>
        </is>
      </c>
      <c r="H49" s="6" t="inlineStr">
        <is>
          <t>Média</t>
        </is>
      </c>
      <c r="I49" s="8" t="n"/>
      <c r="J49" s="8" t="n"/>
      <c r="K49" s="9" t="n"/>
      <c r="L49" s="8" t="inlineStr">
        <is>
          <t>Não testado</t>
        </is>
      </c>
      <c r="M49" s="8" t="n"/>
    </row>
    <row r="50">
      <c r="A50" s="5" t="inlineStr">
        <is>
          <t>S11</t>
        </is>
      </c>
      <c r="B50" s="6" t="inlineStr">
        <is>
          <t>Coordenação técnica</t>
        </is>
      </c>
      <c r="C50" s="6" t="inlineStr">
        <is>
          <t>Seleção das mulheres</t>
        </is>
      </c>
      <c r="D50" s="6" t="inlineStr">
        <is>
          <t>Baixar planilha</t>
        </is>
      </c>
      <c r="E50" s="6" t="inlineStr">
        <is>
          <t>Fichas lançadas</t>
        </is>
      </c>
      <c r="F50" s="6" t="inlineStr">
        <is>
          <t>Seleção → Baixar planilha (CSV) → abrir no Excel</t>
        </is>
      </c>
      <c r="G50" s="6" t="inlineStr">
        <is>
          <t>Uma linha por ficha, acentos corretos</t>
        </is>
      </c>
      <c r="H50" s="6" t="inlineStr">
        <is>
          <t>Média</t>
        </is>
      </c>
      <c r="I50" s="8" t="n"/>
      <c r="J50" s="8" t="n"/>
      <c r="K50" s="9" t="n"/>
      <c r="L50" s="8" t="inlineStr">
        <is>
          <t>Não testado</t>
        </is>
      </c>
      <c r="M50" s="8" t="n"/>
    </row>
    <row r="51">
      <c r="A51" s="5" t="inlineStr">
        <is>
          <t>S12</t>
        </is>
      </c>
      <c r="B51" s="6" t="inlineStr">
        <is>
          <t>Bolsista</t>
        </is>
      </c>
      <c r="C51" s="6" t="inlineStr">
        <is>
          <t>Seleção das mulheres</t>
        </is>
      </c>
      <c r="D51" s="6" t="inlineStr">
        <is>
          <t>Dados de outro estado</t>
        </is>
      </c>
      <c r="E51" s="6" t="inlineStr">
        <is>
          <t>Bolsista do PI e fichas da BA</t>
        </is>
      </c>
      <c r="F51" s="6" t="inlineStr">
        <is>
          <t>Procurar fichas da BA</t>
        </is>
      </c>
      <c r="G51" s="6" t="inlineStr">
        <is>
          <t>Não aparecem</t>
        </is>
      </c>
      <c r="H51" s="7" t="inlineStr">
        <is>
          <t>Crítica</t>
        </is>
      </c>
      <c r="I51" s="8" t="n"/>
      <c r="J51" s="8" t="n"/>
      <c r="K51" s="9" t="n"/>
      <c r="L51" s="8" t="inlineStr">
        <is>
          <t>Não testado</t>
        </is>
      </c>
      <c r="M51" s="8" t="n"/>
    </row>
    <row r="52">
      <c r="A52" s="5" t="inlineStr">
        <is>
          <t>F01</t>
        </is>
      </c>
      <c r="B52" s="6" t="inlineStr">
        <is>
          <t>Coordenação técnica</t>
        </is>
      </c>
      <c r="C52" s="6" t="inlineStr">
        <is>
          <t>Trabalho de campo</t>
        </is>
      </c>
      <c r="D52" s="6" t="inlineStr">
        <is>
          <t>Agendar visita de diagnóstico</t>
        </is>
      </c>
      <c r="E52" s="6" t="inlineStr">
        <is>
          <t>Mulher selecionada e aprovada</t>
        </is>
      </c>
      <c r="F52" s="6" t="inlineStr">
        <is>
          <t>Campo → roteiro → agendar a visita para uma bolsista ou agente habilitada</t>
        </is>
      </c>
      <c r="G52" s="6" t="inlineStr">
        <is>
          <t>A visita aparece na tela de quem vai</t>
        </is>
      </c>
      <c r="H52" s="7" t="inlineStr">
        <is>
          <t>Crítica</t>
        </is>
      </c>
      <c r="I52" s="8" t="n"/>
      <c r="J52" s="8" t="n"/>
      <c r="K52" s="9" t="n"/>
      <c r="L52" s="8" t="inlineStr">
        <is>
          <t>Não testado</t>
        </is>
      </c>
      <c r="M52" s="8" t="n"/>
    </row>
    <row r="53">
      <c r="A53" s="5" t="inlineStr">
        <is>
          <t>F02</t>
        </is>
      </c>
      <c r="B53" s="6" t="inlineStr">
        <is>
          <t>Coordenação técnica</t>
        </is>
      </c>
      <c r="C53" s="6" t="inlineStr">
        <is>
          <t>Trabalho de campo</t>
        </is>
      </c>
      <c r="D53" s="6" t="inlineStr">
        <is>
          <t>Agente não habilitada</t>
        </is>
      </c>
      <c r="E53" s="6" t="inlineStr">
        <is>
          <t>Agente sem FIC, Arlo ou termo</t>
        </is>
      </c>
      <c r="F53" s="6" t="inlineStr">
        <is>
          <t>Tentar agendar visita para ela</t>
        </is>
      </c>
      <c r="G53" s="6" t="inlineStr">
        <is>
          <t>Ela não aparece na lista de quem pode visitar</t>
        </is>
      </c>
      <c r="H53" s="6" t="inlineStr">
        <is>
          <t>Alta</t>
        </is>
      </c>
      <c r="I53" s="8" t="n"/>
      <c r="J53" s="8" t="n"/>
      <c r="K53" s="9" t="n"/>
      <c r="L53" s="8" t="inlineStr">
        <is>
          <t>Não testado</t>
        </is>
      </c>
      <c r="M53" s="8" t="n"/>
    </row>
    <row r="54">
      <c r="A54" s="5" t="inlineStr">
        <is>
          <t>F03</t>
        </is>
      </c>
      <c r="B54" s="6" t="inlineStr">
        <is>
          <t>Bolsista ou agente</t>
        </is>
      </c>
      <c r="C54" s="6" t="inlineStr">
        <is>
          <t>Trabalho de campo</t>
        </is>
      </c>
      <c r="D54" s="6" t="inlineStr">
        <is>
          <t>Diagnóstico completo</t>
        </is>
      </c>
      <c r="E54" s="6" t="inlineStr">
        <is>
          <t>Visita de diagnóstico agendada</t>
        </is>
      </c>
      <c r="F54" s="6" t="inlineStr">
        <is>
          <t>Registrar diagnóstico: 3 fotos, localização, família, água, kit com preço de cada item, cronograma → Salvar</t>
        </is>
      </c>
      <c r="G54" s="6" t="inlineStr">
        <is>
          <t>Salva; a projeção mostra o total do kit e quanto sobra dos R$ 4.500</t>
        </is>
      </c>
      <c r="H54" s="7" t="inlineStr">
        <is>
          <t>Crítica</t>
        </is>
      </c>
      <c r="I54" s="8" t="n"/>
      <c r="J54" s="8" t="n"/>
      <c r="K54" s="9" t="n"/>
      <c r="L54" s="8" t="inlineStr">
        <is>
          <t>Não testado</t>
        </is>
      </c>
      <c r="M54" s="8" t="n"/>
    </row>
    <row r="55">
      <c r="A55" s="5" t="inlineStr">
        <is>
          <t>F04</t>
        </is>
      </c>
      <c r="B55" s="6" t="inlineStr">
        <is>
          <t>Bolsista ou agente</t>
        </is>
      </c>
      <c r="C55" s="6" t="inlineStr">
        <is>
          <t>Trabalho de campo</t>
        </is>
      </c>
      <c r="D55" s="6" t="inlineStr">
        <is>
          <t>Kit acima de R$ 4.500</t>
        </is>
      </c>
      <c r="E55" s="6" t="inlineStr">
        <is>
          <t>Diagnóstico aberto</t>
        </is>
      </c>
      <c r="F55" s="6" t="inlineStr">
        <is>
          <t>Montar itens que somem mais de R$ 4.500 → Salvar</t>
        </is>
      </c>
      <c r="G55" s="6" t="inlineStr">
        <is>
          <t>Não salva e avisa quanto passou</t>
        </is>
      </c>
      <c r="H55" s="7" t="inlineStr">
        <is>
          <t>Crítica</t>
        </is>
      </c>
      <c r="I55" s="8" t="n"/>
      <c r="J55" s="8" t="n"/>
      <c r="K55" s="9" t="n"/>
      <c r="L55" s="8" t="inlineStr">
        <is>
          <t>Não testado</t>
        </is>
      </c>
      <c r="M55" s="8" t="n"/>
    </row>
    <row r="56">
      <c r="A56" s="5" t="inlineStr">
        <is>
          <t>F05</t>
        </is>
      </c>
      <c r="B56" s="6" t="inlineStr">
        <is>
          <t>Bolsista ou agente</t>
        </is>
      </c>
      <c r="C56" s="6" t="inlineStr">
        <is>
          <t>Trabalho de campo</t>
        </is>
      </c>
      <c r="D56" s="6" t="inlineStr">
        <is>
          <t>Diagnóstico sem internet</t>
        </is>
      </c>
      <c r="E56" s="6" t="inlineStr">
        <is>
          <t>Modo avião, no quintal</t>
        </is>
      </c>
      <c r="F56" s="6" t="inlineStr">
        <is>
          <t>Registrar o diagnóstico com fotos e GPS → Salvar → voltar a ter internet</t>
        </is>
      </c>
      <c r="G56" s="6" t="inlineStr">
        <is>
          <t>Fica no aparelho; envia sozinho ao reconectar; nada se perde</t>
        </is>
      </c>
      <c r="H56" s="7" t="inlineStr">
        <is>
          <t>Crítica</t>
        </is>
      </c>
      <c r="I56" s="8" t="n"/>
      <c r="J56" s="8" t="n"/>
      <c r="K56" s="9" t="n"/>
      <c r="L56" s="8" t="inlineStr">
        <is>
          <t>Não testado</t>
        </is>
      </c>
      <c r="M56" s="8" t="n"/>
    </row>
    <row r="57">
      <c r="A57" s="5" t="inlineStr">
        <is>
          <t>F06</t>
        </is>
      </c>
      <c r="B57" s="6" t="inlineStr">
        <is>
          <t>Coordenação técnica</t>
        </is>
      </c>
      <c r="C57" s="6" t="inlineStr">
        <is>
          <t>Trabalho de campo</t>
        </is>
      </c>
      <c r="D57" s="6" t="inlineStr">
        <is>
          <t>Aprovar e devolver plano</t>
        </is>
      </c>
      <c r="E57" s="6" t="inlineStr">
        <is>
          <t>Diagnóstico enviado</t>
        </is>
      </c>
      <c r="F57" s="6" t="inlineStr">
        <is>
          <t>Campo → Planos para você aprovar → abrir → aprovar um e devolver outro</t>
        </is>
      </c>
      <c r="G57" s="6" t="inlineStr">
        <is>
          <t>Aprovado conta em "Planos aprovados"; devolvido aparece para quem fez em "Para fazer agora"</t>
        </is>
      </c>
      <c r="H57" s="7" t="inlineStr">
        <is>
          <t>Crítica</t>
        </is>
      </c>
      <c r="I57" s="8" t="n"/>
      <c r="J57" s="8" t="n"/>
      <c r="K57" s="9" t="n"/>
      <c r="L57" s="8" t="inlineStr">
        <is>
          <t>Não testado</t>
        </is>
      </c>
      <c r="M57" s="8" t="n"/>
    </row>
    <row r="58">
      <c r="A58" s="5" t="inlineStr">
        <is>
          <t>F07</t>
        </is>
      </c>
      <c r="B58" s="6" t="inlineStr">
        <is>
          <t>Bolsista ou agente</t>
        </is>
      </c>
      <c r="C58" s="6" t="inlineStr">
        <is>
          <t>Trabalho de campo</t>
        </is>
      </c>
      <c r="D58" s="6" t="inlineStr">
        <is>
          <t>Registrar visita feita</t>
        </is>
      </c>
      <c r="E58" s="6" t="inlineStr">
        <is>
          <t>Visita de implantação ou acompanhamento agendada</t>
        </is>
      </c>
      <c r="F58" s="6" t="inlineStr">
        <is>
          <t>Registrar visita feita → data e relato → Salvar</t>
        </is>
      </c>
      <c r="G58" s="6" t="inlineStr">
        <is>
          <t>Visita fica "feita" e conta como dia de campo</t>
        </is>
      </c>
      <c r="H58" s="6" t="inlineStr">
        <is>
          <t>Alta</t>
        </is>
      </c>
      <c r="I58" s="8" t="n"/>
      <c r="J58" s="8" t="n"/>
      <c r="K58" s="9" t="n"/>
      <c r="L58" s="8" t="inlineStr">
        <is>
          <t>Não testado</t>
        </is>
      </c>
      <c r="M58" s="8" t="n"/>
    </row>
    <row r="59">
      <c r="A59" s="5" t="inlineStr">
        <is>
          <t>F08</t>
        </is>
      </c>
      <c r="B59" s="6" t="inlineStr">
        <is>
          <t>Bolsista ou agente</t>
        </is>
      </c>
      <c r="C59" s="6" t="inlineStr">
        <is>
          <t>Trabalho de campo</t>
        </is>
      </c>
      <c r="D59" s="6" t="inlineStr">
        <is>
          <t>Falar em vez de digitar</t>
        </is>
      </c>
      <c r="E59" s="6" t="inlineStr">
        <is>
          <t>Com internet, campo de relato aberto</t>
        </is>
      </c>
      <c r="F59" s="6" t="inlineStr">
        <is>
          <t>Falar → dizer uma frase com "vírgula" e "ponto final" → Parar</t>
        </is>
      </c>
      <c r="G59" s="6" t="inlineStr">
        <is>
          <t>Texto aparece enquanto fala, com vírgula e ponto; dá para corrigir antes de salvar</t>
        </is>
      </c>
      <c r="H59" s="6" t="inlineStr">
        <is>
          <t>Média</t>
        </is>
      </c>
      <c r="I59" s="8" t="n"/>
      <c r="J59" s="8" t="n"/>
      <c r="K59" s="9" t="n"/>
      <c r="L59" s="8" t="inlineStr">
        <is>
          <t>Não testado</t>
        </is>
      </c>
      <c r="M59" s="8" t="n"/>
    </row>
    <row r="60">
      <c r="A60" s="5" t="inlineStr">
        <is>
          <t>F09</t>
        </is>
      </c>
      <c r="B60" s="6" t="inlineStr">
        <is>
          <t>Bolsista ou agente</t>
        </is>
      </c>
      <c r="C60" s="6" t="inlineStr">
        <is>
          <t>Trabalho de campo</t>
        </is>
      </c>
      <c r="D60" s="6" t="inlineStr">
        <is>
          <t>Avaliação final</t>
        </is>
      </c>
      <c r="E60" s="6" t="inlineStr">
        <is>
          <t>Visita de avaliação agendada</t>
        </is>
      </c>
      <c r="F60" s="6" t="inlineStr">
        <is>
          <t>Registrar avaliação → responder e fotografar → Salvar</t>
        </is>
      </c>
      <c r="G60" s="6" t="inlineStr">
        <is>
          <t>Salva; o quintal aparece em "Impacto: antes × depois"</t>
        </is>
      </c>
      <c r="H60" s="6" t="inlineStr">
        <is>
          <t>Alta</t>
        </is>
      </c>
      <c r="I60" s="8" t="n"/>
      <c r="J60" s="8" t="n"/>
      <c r="K60" s="9" t="n"/>
      <c r="L60" s="8" t="inlineStr">
        <is>
          <t>Não testado</t>
        </is>
      </c>
      <c r="M60" s="8" t="n"/>
    </row>
    <row r="61">
      <c r="A61" s="5" t="inlineStr">
        <is>
          <t>F10</t>
        </is>
      </c>
      <c r="B61" s="6" t="inlineStr">
        <is>
          <t>Coordenação técnica</t>
        </is>
      </c>
      <c r="C61" s="6" t="inlineStr">
        <is>
          <t>Trabalho de campo</t>
        </is>
      </c>
      <c r="D61" s="6" t="inlineStr">
        <is>
          <t>Visita atrasada</t>
        </is>
      </c>
      <c r="E61" s="6" t="inlineStr">
        <is>
          <t>Visita com data prevista já passada</t>
        </is>
      </c>
      <c r="F61" s="6" t="inlineStr">
        <is>
          <t>Ver o roteiro</t>
        </is>
      </c>
      <c r="G61" s="6" t="inlineStr">
        <is>
          <t>Visita aparece como "Atrasada", com o botão do que fazer</t>
        </is>
      </c>
      <c r="H61" s="6" t="inlineStr">
        <is>
          <t>Média</t>
        </is>
      </c>
      <c r="I61" s="8" t="n"/>
      <c r="J61" s="8" t="n"/>
      <c r="K61" s="9" t="n"/>
      <c r="L61" s="8" t="inlineStr">
        <is>
          <t>Não testado</t>
        </is>
      </c>
      <c r="M61" s="8" t="n"/>
    </row>
    <row r="62">
      <c r="A62" s="5" t="inlineStr">
        <is>
          <t>F11</t>
        </is>
      </c>
      <c r="B62" s="6" t="inlineStr">
        <is>
          <t>Bolsista ou agente</t>
        </is>
      </c>
      <c r="C62" s="6" t="inlineStr">
        <is>
          <t>Trabalho de campo</t>
        </is>
      </c>
      <c r="D62" s="6" t="inlineStr">
        <is>
          <t>Diagnóstico sem as 3 fotos</t>
        </is>
      </c>
      <c r="E62" s="6" t="inlineStr">
        <is>
          <t>Diagnóstico aberto</t>
        </is>
      </c>
      <c r="F62" s="6" t="inlineStr">
        <is>
          <t>Salvar com só 1 ou 2 fotos</t>
        </is>
      </c>
      <c r="G62" s="6" t="inlineStr">
        <is>
          <t>Não salva: pede visão geral, água e plantio</t>
        </is>
      </c>
      <c r="H62" s="6" t="inlineStr">
        <is>
          <t>Alta</t>
        </is>
      </c>
      <c r="I62" s="8" t="n"/>
      <c r="J62" s="8" t="n"/>
      <c r="K62" s="9" t="n"/>
      <c r="L62" s="8" t="inlineStr">
        <is>
          <t>Não testado</t>
        </is>
      </c>
      <c r="M62" s="8" t="n"/>
    </row>
    <row r="63">
      <c r="A63" s="5" t="inlineStr">
        <is>
          <t>F12</t>
        </is>
      </c>
      <c r="B63" s="6" t="inlineStr">
        <is>
          <t>Bolsista ou agente</t>
        </is>
      </c>
      <c r="C63" s="6" t="inlineStr">
        <is>
          <t>Trabalho de campo</t>
        </is>
      </c>
      <c r="D63" s="6" t="inlineStr">
        <is>
          <t>Quintal sem água na seca</t>
        </is>
      </c>
      <c r="E63" s="6" t="inlineStr">
        <is>
          <t>Diagnóstico aberto</t>
        </is>
      </c>
      <c r="F63" s="6" t="inlineStr">
        <is>
          <t>Marcar que a água não dura no período seco → Salvar</t>
        </is>
      </c>
      <c r="G63" s="6" t="inlineStr">
        <is>
          <t>Não pede plano de kit; conta em "Sem água na seca"</t>
        </is>
      </c>
      <c r="H63" s="6" t="inlineStr">
        <is>
          <t>Alta</t>
        </is>
      </c>
      <c r="I63" s="8" t="n"/>
      <c r="J63" s="8" t="n"/>
      <c r="K63" s="9" t="n"/>
      <c r="L63" s="8" t="inlineStr">
        <is>
          <t>Não testado</t>
        </is>
      </c>
      <c r="M63" s="8" t="n"/>
    </row>
    <row r="64">
      <c r="A64" s="5" t="inlineStr">
        <is>
          <t>F13</t>
        </is>
      </c>
      <c r="B64" s="6" t="inlineStr">
        <is>
          <t>Bolsista ou agente</t>
        </is>
      </c>
      <c r="C64" s="6" t="inlineStr">
        <is>
          <t>Trabalho de campo</t>
        </is>
      </c>
      <c r="D64" s="6" t="inlineStr">
        <is>
          <t>GPS sem internet</t>
        </is>
      </c>
      <c r="E64" s="6" t="inlineStr">
        <is>
          <t>Modo avião, ao ar livre</t>
        </is>
      </c>
      <c r="F64" s="6" t="inlineStr">
        <is>
          <t>Registrar localização</t>
        </is>
      </c>
      <c r="G64" s="6" t="inlineStr">
        <is>
          <t>Registra (pode demorar até 1 minuto)</t>
        </is>
      </c>
      <c r="H64" s="6" t="inlineStr">
        <is>
          <t>Alta</t>
        </is>
      </c>
      <c r="I64" s="8" t="n"/>
      <c r="J64" s="8" t="n"/>
      <c r="K64" s="9" t="n"/>
      <c r="L64" s="8" t="inlineStr">
        <is>
          <t>Não testado</t>
        </is>
      </c>
      <c r="M64" s="8" t="n"/>
    </row>
    <row r="65">
      <c r="A65" s="5" t="inlineStr">
        <is>
          <t>F14</t>
        </is>
      </c>
      <c r="B65" s="6" t="inlineStr">
        <is>
          <t>Coordenação técnica</t>
        </is>
      </c>
      <c r="C65" s="6" t="inlineStr">
        <is>
          <t>Trabalho de campo</t>
        </is>
      </c>
      <c r="D65" s="6" t="inlineStr">
        <is>
          <t>Cancelar visita</t>
        </is>
      </c>
      <c r="E65" s="6" t="inlineStr">
        <is>
          <t>Visita prevista</t>
        </is>
      </c>
      <c r="F65" s="6" t="inlineStr">
        <is>
          <t>Abrir a visita → Cancelar visita → Confirmar cancelamento</t>
        </is>
      </c>
      <c r="G65" s="6" t="inlineStr">
        <is>
          <t>Some do roteiro de quem ia; o dia de campo volta</t>
        </is>
      </c>
      <c r="H65" s="6" t="inlineStr">
        <is>
          <t>Média</t>
        </is>
      </c>
      <c r="I65" s="8" t="n"/>
      <c r="J65" s="8" t="n"/>
      <c r="K65" s="9" t="n"/>
      <c r="L65" s="8" t="inlineStr">
        <is>
          <t>Não testado</t>
        </is>
      </c>
      <c r="M65" s="8" t="n"/>
    </row>
    <row r="66">
      <c r="A66" s="5" t="inlineStr">
        <is>
          <t>F15</t>
        </is>
      </c>
      <c r="B66" s="6" t="inlineStr">
        <is>
          <t>Bolsista ou agente</t>
        </is>
      </c>
      <c r="C66" s="6" t="inlineStr">
        <is>
          <t>Trabalho de campo</t>
        </is>
      </c>
      <c r="D66" s="6" t="inlineStr">
        <is>
          <t>Corrigir plano devolvido</t>
        </is>
      </c>
      <c r="E66" s="6" t="inlineStr">
        <is>
          <t>Plano devolvido (F06)</t>
        </is>
      </c>
      <c r="F66" s="6" t="inlineStr">
        <is>
          <t>Para fazer agora → abrir o plano devolvido → corrigir → Salvar</t>
        </is>
      </c>
      <c r="G66" s="6" t="inlineStr">
        <is>
          <t>Volta para a coordenação aprovar</t>
        </is>
      </c>
      <c r="H66" s="6" t="inlineStr">
        <is>
          <t>Alta</t>
        </is>
      </c>
      <c r="I66" s="8" t="n"/>
      <c r="J66" s="8" t="n"/>
      <c r="K66" s="9" t="n"/>
      <c r="L66" s="8" t="inlineStr">
        <is>
          <t>Não testado</t>
        </is>
      </c>
      <c r="M66" s="8" t="n"/>
    </row>
    <row r="67">
      <c r="A67" s="5" t="inlineStr">
        <is>
          <t>F16</t>
        </is>
      </c>
      <c r="B67" s="6" t="inlineStr">
        <is>
          <t>Bolsista ou agente</t>
        </is>
      </c>
      <c r="C67" s="6" t="inlineStr">
        <is>
          <t>Trabalho de campo</t>
        </is>
      </c>
      <c r="D67" s="6" t="inlineStr">
        <is>
          <t>Sugestão de kit x kit escolhido</t>
        </is>
      </c>
      <c r="E67" s="6" t="inlineStr">
        <is>
          <t>Diagnóstico com água pouca e kit sem gotejamento</t>
        </is>
      </c>
      <c r="F67" s="6" t="inlineStr">
        <is>
          <t>Ver o bloco da sugestão de kit no diagnóstico</t>
        </is>
      </c>
      <c r="G67" s="6" t="inlineStr">
        <is>
          <t>Mostra a diferença (ex.: "A sugestão indica gotejamento, e o kit escolhido não tem")</t>
        </is>
      </c>
      <c r="H67" s="6" t="inlineStr">
        <is>
          <t>Alta</t>
        </is>
      </c>
      <c r="I67" s="8" t="n"/>
      <c r="J67" s="8" t="n"/>
      <c r="K67" s="9" t="n"/>
      <c r="L67" s="8" t="inlineStr">
        <is>
          <t>Não testado</t>
        </is>
      </c>
      <c r="M67" s="8" t="n"/>
    </row>
    <row r="68">
      <c r="A68" s="5" t="inlineStr">
        <is>
          <t>E01</t>
        </is>
      </c>
      <c r="B68" s="6" t="inlineStr">
        <is>
          <t>Professor do FIC</t>
        </is>
      </c>
      <c r="C68" s="6" t="inlineStr">
        <is>
          <t>Curso FIC e entregas do mês</t>
        </is>
      </c>
      <c r="D68" s="6" t="inlineStr">
        <is>
          <t>Criar turma e matricular</t>
        </is>
      </c>
      <c r="E68" s="6" t="inlineStr">
        <is>
          <t>Bolsista ou agente sem matrícula</t>
        </is>
      </c>
      <c r="F68" s="6" t="inlineStr">
        <is>
          <t>Curso FIC → + Nova turma → + Matricular → pessoa, número SUAP e data</t>
        </is>
      </c>
      <c r="G68" s="6" t="inlineStr">
        <is>
          <t>Matrícula registrada; o passo "FIC" da habilitação da pessoa fica feito</t>
        </is>
      </c>
      <c r="H68" s="6" t="inlineStr">
        <is>
          <t>Alta</t>
        </is>
      </c>
      <c r="I68" s="8" t="n"/>
      <c r="J68" s="8" t="n"/>
      <c r="K68" s="9" t="n"/>
      <c r="L68" s="8" t="inlineStr">
        <is>
          <t>Não testado</t>
        </is>
      </c>
      <c r="M68" s="8" t="n"/>
    </row>
    <row r="69">
      <c r="A69" s="5" t="inlineStr">
        <is>
          <t>E02</t>
        </is>
      </c>
      <c r="B69" s="6" t="inlineStr">
        <is>
          <t>Professor do FIC</t>
        </is>
      </c>
      <c r="C69" s="6" t="inlineStr">
        <is>
          <t>Curso FIC e entregas do mês</t>
        </is>
      </c>
      <c r="D69" s="6" t="inlineStr">
        <is>
          <t>Confirmar acesso ao AVA</t>
        </is>
      </c>
      <c r="E69" s="6" t="inlineStr">
        <is>
          <t>Aluna matriculada</t>
        </is>
      </c>
      <c r="F69" s="6" t="inlineStr">
        <is>
          <t>Acesso ao AVA no mês → marcar a aluna</t>
        </is>
      </c>
      <c r="G69" s="6" t="inlineStr">
        <is>
          <t>Fica "Acessou"; na tela da bolsista, a entrega "Acesso ao AVA" fica ✓</t>
        </is>
      </c>
      <c r="H69" s="6" t="inlineStr">
        <is>
          <t>Alta</t>
        </is>
      </c>
      <c r="I69" s="8" t="n"/>
      <c r="J69" s="8" t="n"/>
      <c r="K69" s="9" t="n"/>
      <c r="L69" s="8" t="inlineStr">
        <is>
          <t>Não testado</t>
        </is>
      </c>
      <c r="M69" s="8" t="n"/>
    </row>
    <row r="70">
      <c r="A70" s="5" t="inlineStr">
        <is>
          <t>E03</t>
        </is>
      </c>
      <c r="B70" s="6" t="inlineStr">
        <is>
          <t>Professor do FIC</t>
        </is>
      </c>
      <c r="C70" s="6" t="inlineStr">
        <is>
          <t>Curso FIC e entregas do mês</t>
        </is>
      </c>
      <c r="D70" s="6" t="inlineStr">
        <is>
          <t>Não marca mês futuro</t>
        </is>
      </c>
      <c r="E70" s="6" t="inlineStr">
        <is>
          <t>—</t>
        </is>
      </c>
      <c r="F70" s="6" t="inlineStr">
        <is>
          <t>No AVA, tentar avançar para o mês seguinte</t>
        </is>
      </c>
      <c r="G70" s="6" t="inlineStr">
        <is>
          <t>O botão › fica desativado</t>
        </is>
      </c>
      <c r="H70" s="6" t="inlineStr">
        <is>
          <t>Média</t>
        </is>
      </c>
      <c r="I70" s="8" t="n"/>
      <c r="J70" s="8" t="n"/>
      <c r="K70" s="9" t="n"/>
      <c r="L70" s="8" t="inlineStr">
        <is>
          <t>Não testado</t>
        </is>
      </c>
      <c r="M70" s="8" t="n"/>
    </row>
    <row r="71">
      <c r="A71" s="5" t="inlineStr">
        <is>
          <t>E04</t>
        </is>
      </c>
      <c r="B71" s="6" t="inlineStr">
        <is>
          <t>Bolsista</t>
        </is>
      </c>
      <c r="C71" s="6" t="inlineStr">
        <is>
          <t>Curso FIC e entregas do mês</t>
        </is>
      </c>
      <c r="D71" s="6" t="inlineStr">
        <is>
          <t>Entregas do mês</t>
        </is>
      </c>
      <c r="E71" s="6" t="inlineStr">
        <is>
          <t>Visitas feitas no mês</t>
        </is>
      </c>
      <c r="F71" s="6" t="inlineStr">
        <is>
          <t>Ver o cartão Entregas do mês</t>
        </is>
      </c>
      <c r="G71" s="6" t="inlineStr">
        <is>
          <t>Mostra as 6 entregas; fotos e fichas contam as visitas do mês</t>
        </is>
      </c>
      <c r="H71" s="6" t="inlineStr">
        <is>
          <t>Alta</t>
        </is>
      </c>
      <c r="I71" s="8" t="n"/>
      <c r="J71" s="8" t="n"/>
      <c r="K71" s="9" t="n"/>
      <c r="L71" s="8" t="inlineStr">
        <is>
          <t>Não testado</t>
        </is>
      </c>
      <c r="M71" s="8" t="n"/>
    </row>
    <row r="72">
      <c r="A72" s="5" t="inlineStr">
        <is>
          <t>E05</t>
        </is>
      </c>
      <c r="B72" s="6" t="inlineStr">
        <is>
          <t>Bolsista</t>
        </is>
      </c>
      <c r="C72" s="6" t="inlineStr">
        <is>
          <t>Curso FIC e entregas do mês</t>
        </is>
      </c>
      <c r="D72" s="6" t="inlineStr">
        <is>
          <t>Marcar lista de presença</t>
        </is>
      </c>
      <c r="E72" s="6" t="inlineStr">
        <is>
          <t>—</t>
        </is>
      </c>
      <c r="F72" s="6" t="inlineStr">
        <is>
          <t>Entregas do mês → Entreguei; depois Desmarcar</t>
        </is>
      </c>
      <c r="G72" s="6" t="inlineStr">
        <is>
          <t>Vira ✓ e volta ao desmarcar</t>
        </is>
      </c>
      <c r="H72" s="6" t="inlineStr">
        <is>
          <t>Alta</t>
        </is>
      </c>
      <c r="I72" s="8" t="n"/>
      <c r="J72" s="8" t="n"/>
      <c r="K72" s="9" t="n"/>
      <c r="L72" s="8" t="inlineStr">
        <is>
          <t>Não testado</t>
        </is>
      </c>
      <c r="M72" s="8" t="n"/>
    </row>
    <row r="73">
      <c r="A73" s="5" t="inlineStr">
        <is>
          <t>E06</t>
        </is>
      </c>
      <c r="B73" s="6" t="inlineStr">
        <is>
          <t>Bolsista</t>
        </is>
      </c>
      <c r="C73" s="6" t="inlineStr">
        <is>
          <t>Curso FIC e entregas do mês</t>
        </is>
      </c>
      <c r="D73" s="6" t="inlineStr">
        <is>
          <t>AVA ainda não confirmado</t>
        </is>
      </c>
      <c r="E73" s="6" t="inlineStr">
        <is>
          <t>Professor não marcou o mês</t>
        </is>
      </c>
      <c r="F73" s="6" t="inlineStr">
        <is>
          <t>Ver Entregas do mês</t>
        </is>
      </c>
      <c r="G73" s="6" t="inlineStr">
        <is>
          <t>"Acesso ao AVA" aparece pendente com "O professor do FIC confirma quando você acessar"</t>
        </is>
      </c>
      <c r="H73" s="6" t="inlineStr">
        <is>
          <t>Alta</t>
        </is>
      </c>
      <c r="I73" s="8" t="n"/>
      <c r="J73" s="8" t="n"/>
      <c r="K73" s="9" t="n"/>
      <c r="L73" s="8" t="inlineStr">
        <is>
          <t>Não testado</t>
        </is>
      </c>
      <c r="M73" s="8" t="n"/>
    </row>
    <row r="74">
      <c r="A74" s="5" t="inlineStr">
        <is>
          <t>G01</t>
        </is>
      </c>
      <c r="B74" s="6" t="inlineStr">
        <is>
          <t>Bolsista</t>
        </is>
      </c>
      <c r="C74" s="6" t="inlineStr">
        <is>
          <t>Pagamentos</t>
        </is>
      </c>
      <c r="D74" s="6" t="inlineStr">
        <is>
          <t>Pedir a bolsa do mês</t>
        </is>
      </c>
      <c r="E74" s="6" t="inlineStr">
        <is>
          <t>Bolsista habilitada</t>
        </is>
      </c>
      <c r="F74" s="6" t="inlineStr">
        <is>
          <t>Solicitar pagamento → escrever o relatório → Solicitar bolsa</t>
        </is>
      </c>
      <c r="G74" s="6" t="inlineStr">
        <is>
          <t>Pedido fica "Solicitada"; o relatório conta nas Entregas do mês</t>
        </is>
      </c>
      <c r="H74" s="6" t="inlineStr">
        <is>
          <t>Alta</t>
        </is>
      </c>
      <c r="I74" s="8" t="n"/>
      <c r="J74" s="8" t="n"/>
      <c r="K74" s="9" t="n"/>
      <c r="L74" s="8" t="inlineStr">
        <is>
          <t>Não testado</t>
        </is>
      </c>
      <c r="M74" s="8" t="n"/>
    </row>
    <row r="75">
      <c r="A75" s="5" t="inlineStr">
        <is>
          <t>G02</t>
        </is>
      </c>
      <c r="B75" s="6" t="inlineStr">
        <is>
          <t>Bolsista</t>
        </is>
      </c>
      <c r="C75" s="6" t="inlineStr">
        <is>
          <t>Pagamentos</t>
        </is>
      </c>
      <c r="D75" s="6" t="inlineStr">
        <is>
          <t>Bolsista não habilitada</t>
        </is>
      </c>
      <c r="E75" s="6" t="inlineStr">
        <is>
          <t>Falta FIC, Arlo ou termo</t>
        </is>
      </c>
      <c r="F75" s="6" t="inlineStr">
        <is>
          <t>Solicitar pagamento</t>
        </is>
      </c>
      <c r="G75" s="6" t="inlineStr">
        <is>
          <t>Botão desativado e aviso de que a habilitação não está completa</t>
        </is>
      </c>
      <c r="H75" s="6" t="inlineStr">
        <is>
          <t>Alta</t>
        </is>
      </c>
      <c r="I75" s="8" t="n"/>
      <c r="J75" s="8" t="n"/>
      <c r="K75" s="9" t="n"/>
      <c r="L75" s="8" t="inlineStr">
        <is>
          <t>Não testado</t>
        </is>
      </c>
      <c r="M75" s="8" t="n"/>
    </row>
    <row r="76">
      <c r="A76" s="5" t="inlineStr">
        <is>
          <t>G03</t>
        </is>
      </c>
      <c r="B76" s="6" t="inlineStr">
        <is>
          <t>Agente de campo</t>
        </is>
      </c>
      <c r="C76" s="6" t="inlineStr">
        <is>
          <t>Pagamentos</t>
        </is>
      </c>
      <c r="D76" s="6" t="inlineStr">
        <is>
          <t>Pedir ajuda de custo</t>
        </is>
      </c>
      <c r="E76" s="6" t="inlineStr">
        <is>
          <t>Visitas feitas no mês</t>
        </is>
      </c>
      <c r="F76" s="6" t="inlineStr">
        <is>
          <t>Solicitar pagamento → Ajuda de custo</t>
        </is>
      </c>
      <c r="G76" s="6" t="inlineStr">
        <is>
          <t>Valor calculado pelas visitas; as visitas ficam travadas no pedido</t>
        </is>
      </c>
      <c r="H76" s="6" t="inlineStr">
        <is>
          <t>Alta</t>
        </is>
      </c>
      <c r="I76" s="8" t="n"/>
      <c r="J76" s="8" t="n"/>
      <c r="K76" s="9" t="n"/>
      <c r="L76" s="8" t="inlineStr">
        <is>
          <t>Não testado</t>
        </is>
      </c>
      <c r="M76" s="8" t="n"/>
    </row>
    <row r="77">
      <c r="A77" s="5" t="inlineStr">
        <is>
          <t>G04</t>
        </is>
      </c>
      <c r="B77" s="6" t="inlineStr">
        <is>
          <t>Coordenação técnica</t>
        </is>
      </c>
      <c r="C77" s="6" t="inlineStr">
        <is>
          <t>Pagamentos</t>
        </is>
      </c>
      <c r="D77" s="6" t="inlineStr">
        <is>
          <t>Dar aval conferindo as entregas</t>
        </is>
      </c>
      <c r="E77" s="6" t="inlineStr">
        <is>
          <t>Pedido de bolsa solicitado</t>
        </is>
      </c>
      <c r="F77" s="6" t="inlineStr">
        <is>
          <t>Pagamentos → abrir o pedido → ver Entregas do mês → Dar aval (ou Devolver)</t>
        </is>
      </c>
      <c r="G77" s="6" t="inlineStr">
        <is>
          <t>Com aval, vai para o auxiliar; devolvido volta para a bolsista com o motivo</t>
        </is>
      </c>
      <c r="H77" s="7" t="inlineStr">
        <is>
          <t>Crítica</t>
        </is>
      </c>
      <c r="I77" s="8" t="n"/>
      <c r="J77" s="8" t="n"/>
      <c r="K77" s="9" t="n"/>
      <c r="L77" s="8" t="inlineStr">
        <is>
          <t>Não testado</t>
        </is>
      </c>
      <c r="M77" s="8" t="n"/>
    </row>
    <row r="78">
      <c r="A78" s="5" t="inlineStr">
        <is>
          <t>G05</t>
        </is>
      </c>
      <c r="B78" s="6" t="inlineStr">
        <is>
          <t>Coordenação geral</t>
        </is>
      </c>
      <c r="C78" s="6" t="inlineStr">
        <is>
          <t>Pagamentos</t>
        </is>
      </c>
      <c r="D78" s="6" t="inlineStr">
        <is>
          <t>Aval da bolsa da coordenação técnica</t>
        </is>
      </c>
      <c r="E78" s="6" t="inlineStr">
        <is>
          <t>Pedido da coordenação técnica</t>
        </is>
      </c>
      <c r="F78" s="6" t="inlineStr">
        <is>
          <t>Pagamentos → dar o aval</t>
        </is>
      </c>
      <c r="G78" s="6" t="inlineStr">
        <is>
          <t>Só a coordenação geral consegue dar esse aval</t>
        </is>
      </c>
      <c r="H78" s="6" t="inlineStr">
        <is>
          <t>Alta</t>
        </is>
      </c>
      <c r="I78" s="8" t="n"/>
      <c r="J78" s="8" t="n"/>
      <c r="K78" s="9" t="n"/>
      <c r="L78" s="8" t="inlineStr">
        <is>
          <t>Não testado</t>
        </is>
      </c>
      <c r="M78" s="8" t="n"/>
    </row>
    <row r="79">
      <c r="A79" s="5" t="inlineStr">
        <is>
          <t>G06</t>
        </is>
      </c>
      <c r="B79" s="6" t="inlineStr">
        <is>
          <t>Auxiliar administrativo</t>
        </is>
      </c>
      <c r="C79" s="6" t="inlineStr">
        <is>
          <t>Pagamentos</t>
        </is>
      </c>
      <c r="D79" s="6" t="inlineStr">
        <is>
          <t>Lançar no Arlo</t>
        </is>
      </c>
      <c r="E79" s="6" t="inlineStr">
        <is>
          <t>Pedido com aval</t>
        </is>
      </c>
      <c r="F79" s="6" t="inlineStr">
        <is>
          <t>Pagamentos para lançar → registrar o protocolo</t>
        </is>
      </c>
      <c r="G79" s="6" t="inlineStr">
        <is>
          <t>Pedido fica "Lançada no Arlo" com o protocolo</t>
        </is>
      </c>
      <c r="H79" s="6" t="inlineStr">
        <is>
          <t>Alta</t>
        </is>
      </c>
      <c r="I79" s="8" t="n"/>
      <c r="J79" s="8" t="n"/>
      <c r="K79" s="9" t="n"/>
      <c r="L79" s="8" t="inlineStr">
        <is>
          <t>Não testado</t>
        </is>
      </c>
      <c r="M79" s="8" t="n"/>
    </row>
    <row r="80">
      <c r="A80" s="5" t="inlineStr">
        <is>
          <t>G07</t>
        </is>
      </c>
      <c r="B80" s="6" t="inlineStr">
        <is>
          <t>Bolsista</t>
        </is>
      </c>
      <c r="C80" s="6" t="inlineStr">
        <is>
          <t>Pagamentos</t>
        </is>
      </c>
      <c r="D80" s="6" t="inlineStr">
        <is>
          <t>Pedir de novo após devolução</t>
        </is>
      </c>
      <c r="E80" s="6" t="inlineStr">
        <is>
          <t>Pedido devolvido (G04)</t>
        </is>
      </c>
      <c r="F80" s="6" t="inlineStr">
        <is>
          <t>Abrir o pedido devolvido → ler o motivo → corrigir o relatório → Solicitar de novo</t>
        </is>
      </c>
      <c r="G80" s="6" t="inlineStr">
        <is>
          <t>Volta para "Solicitada" e para a fila da coordenação técnica</t>
        </is>
      </c>
      <c r="H80" s="6" t="inlineStr">
        <is>
          <t>Alta</t>
        </is>
      </c>
      <c r="I80" s="8" t="n"/>
      <c r="J80" s="8" t="n"/>
      <c r="K80" s="9" t="n"/>
      <c r="L80" s="8" t="inlineStr">
        <is>
          <t>Não testado</t>
        </is>
      </c>
      <c r="M80" s="8" t="n"/>
    </row>
    <row r="81">
      <c r="A81" s="5" t="inlineStr">
        <is>
          <t>V01</t>
        </is>
      </c>
      <c r="B81" s="6" t="inlineStr">
        <is>
          <t>Coordenação geral</t>
        </is>
      </c>
      <c r="C81" s="6" t="inlineStr">
        <is>
          <t>Coordenação e uso geral</t>
        </is>
      </c>
      <c r="D81" s="6" t="inlineStr">
        <is>
          <t>Visão geral</t>
        </is>
      </c>
      <c r="E81" s="6" t="inlineStr">
        <is>
          <t>Dados de teste lançados</t>
        </is>
      </c>
      <c r="F81" s="6" t="inlineStr">
        <is>
          <t>Abrir Visão geral e tocar nos avisos</t>
        </is>
      </c>
      <c r="G81" s="6" t="inlineStr">
        <is>
          <t>Avisos levam à aba certa; "Quem é a equipe de execução" bate com a aba Equipe</t>
        </is>
      </c>
      <c r="H81" s="6" t="inlineStr">
        <is>
          <t>Alta</t>
        </is>
      </c>
      <c r="I81" s="8" t="n"/>
      <c r="J81" s="8" t="n"/>
      <c r="K81" s="9" t="n"/>
      <c r="L81" s="8" t="inlineStr">
        <is>
          <t>Não testado</t>
        </is>
      </c>
      <c r="M81" s="8" t="n"/>
    </row>
    <row r="82">
      <c r="A82" s="5" t="inlineStr">
        <is>
          <t>V02</t>
        </is>
      </c>
      <c r="B82" s="6" t="inlineStr">
        <is>
          <t>Coordenação geral</t>
        </is>
      </c>
      <c r="C82" s="6" t="inlineStr">
        <is>
          <t>Coordenação e uso geral</t>
        </is>
      </c>
      <c r="D82" s="6" t="inlineStr">
        <is>
          <t>Histórico</t>
        </is>
      </c>
      <c r="E82" s="6" t="inlineStr">
        <is>
          <t>Ações feitas nos testes</t>
        </is>
      </c>
      <c r="F82" s="6" t="inlineStr">
        <is>
          <t>Abrir Histórico</t>
        </is>
      </c>
      <c r="G82" s="6" t="inlineStr">
        <is>
          <t>Cada ação aparece com autor e hora, agrupada por dia, frases legíveis</t>
        </is>
      </c>
      <c r="H82" s="6" t="inlineStr">
        <is>
          <t>Alta</t>
        </is>
      </c>
      <c r="I82" s="8" t="n"/>
      <c r="J82" s="8" t="n"/>
      <c r="K82" s="9" t="n"/>
      <c r="L82" s="8" t="inlineStr">
        <is>
          <t>Não testado</t>
        </is>
      </c>
      <c r="M82" s="8" t="n"/>
    </row>
    <row r="83">
      <c r="A83" s="5" t="inlineStr">
        <is>
          <t>V03</t>
        </is>
      </c>
      <c r="B83" s="6" t="inlineStr">
        <is>
          <t>Coordenação geral</t>
        </is>
      </c>
      <c r="C83" s="6" t="inlineStr">
        <is>
          <t>Coordenação e uso geral</t>
        </is>
      </c>
      <c r="D83" s="6" t="inlineStr">
        <is>
          <t>Financeiro e entregas</t>
        </is>
      </c>
      <c r="E83" s="6" t="inlineStr">
        <is>
          <t>—</t>
        </is>
      </c>
      <c r="F83" s="6" t="inlineStr">
        <is>
          <t>Visão geral → Financeiro e entregas; depois entrar como coord. técnica</t>
        </is>
      </c>
      <c r="G83" s="6" t="inlineStr">
        <is>
          <t>Coord. geral vê o botão; coord. técnica não</t>
        </is>
      </c>
      <c r="H83" s="6" t="inlineStr">
        <is>
          <t>Média</t>
        </is>
      </c>
      <c r="I83" s="8" t="n"/>
      <c r="J83" s="8" t="n"/>
      <c r="K83" s="9" t="n"/>
      <c r="L83" s="8" t="inlineStr">
        <is>
          <t>Não testado</t>
        </is>
      </c>
      <c r="M83" s="8" t="n"/>
    </row>
    <row r="84">
      <c r="A84" s="5" t="inlineStr">
        <is>
          <t>V04</t>
        </is>
      </c>
      <c r="B84" s="6" t="inlineStr">
        <is>
          <t>Bolsista</t>
        </is>
      </c>
      <c r="C84" s="6" t="inlineStr">
        <is>
          <t>Coordenação e uso geral</t>
        </is>
      </c>
      <c r="D84" s="6" t="inlineStr">
        <is>
          <t>Dados de outro estado</t>
        </is>
      </c>
      <c r="E84" s="6" t="inlineStr">
        <is>
          <t>Bolsista do PI e fichas da BA</t>
        </is>
      </c>
      <c r="F84" s="6" t="inlineStr">
        <is>
          <t>Procurar fichas e pessoas da BA</t>
        </is>
      </c>
      <c r="G84" s="6" t="inlineStr">
        <is>
          <t>Não aparecem (cada bolsista vê só o seu estado)</t>
        </is>
      </c>
      <c r="H84" s="7" t="inlineStr">
        <is>
          <t>Crítica</t>
        </is>
      </c>
      <c r="I84" s="8" t="n"/>
      <c r="J84" s="8" t="n"/>
      <c r="K84" s="9" t="n"/>
      <c r="L84" s="8" t="inlineStr">
        <is>
          <t>Não testado</t>
        </is>
      </c>
      <c r="M84" s="8" t="n"/>
    </row>
    <row r="85">
      <c r="A85" s="5" t="inlineStr">
        <is>
          <t>V05</t>
        </is>
      </c>
      <c r="B85" s="6" t="inlineStr">
        <is>
          <t>Professor do FIC</t>
        </is>
      </c>
      <c r="C85" s="6" t="inlineStr">
        <is>
          <t>Coordenação e uso geral</t>
        </is>
      </c>
      <c r="D85" s="6" t="inlineStr">
        <is>
          <t>Dados protegidos</t>
        </is>
      </c>
      <c r="E85" s="6" t="inlineStr">
        <is>
          <t>—</t>
        </is>
      </c>
      <c r="F85" s="6" t="inlineStr">
        <is>
          <t>Abrir a lista de matrícula</t>
        </is>
      </c>
      <c r="G85" s="6" t="inlineStr">
        <is>
          <t>Não vê CPF nem telefone das pessoas</t>
        </is>
      </c>
      <c r="H85" s="6" t="inlineStr">
        <is>
          <t>Alta</t>
        </is>
      </c>
      <c r="I85" s="8" t="n"/>
      <c r="J85" s="8" t="n"/>
      <c r="K85" s="9" t="n"/>
      <c r="L85" s="8" t="inlineStr">
        <is>
          <t>Não testado</t>
        </is>
      </c>
      <c r="M85" s="8" t="n"/>
    </row>
    <row r="86">
      <c r="A86" s="5" t="inlineStr">
        <is>
          <t>V06</t>
        </is>
      </c>
      <c r="B86" s="6" t="inlineStr">
        <is>
          <t>Todos</t>
        </is>
      </c>
      <c r="C86" s="6" t="inlineStr">
        <is>
          <t>Coordenação e uso geral</t>
        </is>
      </c>
      <c r="D86" s="6" t="inlineStr">
        <is>
          <t>Celular pequeno</t>
        </is>
      </c>
      <c r="E86" s="6" t="inlineStr">
        <is>
          <t>Android e iPhone</t>
        </is>
      </c>
      <c r="F86" s="6" t="inlineStr">
        <is>
          <t>Percorrer todas as telas do perfil</t>
        </is>
      </c>
      <c r="G86" s="6" t="inlineStr">
        <is>
          <t>Sem rolagem para os lados; campos da mesma linha alinhados; botões fáceis de tocar</t>
        </is>
      </c>
      <c r="H86" s="6" t="inlineStr">
        <is>
          <t>Média</t>
        </is>
      </c>
      <c r="I86" s="8" t="n"/>
      <c r="J86" s="8" t="n"/>
      <c r="K86" s="9" t="n"/>
      <c r="L86" s="8" t="inlineStr">
        <is>
          <t>Não testado</t>
        </is>
      </c>
      <c r="M86" s="8" t="n"/>
    </row>
    <row r="87">
      <c r="A87" s="5" t="inlineStr">
        <is>
          <t>V07</t>
        </is>
      </c>
      <c r="B87" s="6" t="inlineStr">
        <is>
          <t>Todos</t>
        </is>
      </c>
      <c r="C87" s="6" t="inlineStr">
        <is>
          <t>Coordenação e uso geral</t>
        </is>
      </c>
      <c r="D87" s="6" t="inlineStr">
        <is>
          <t>Instalar como aplicativo</t>
        </is>
      </c>
      <c r="E87" s="6" t="inlineStr">
        <is>
          <t>Chrome (Android) ou Safari (iPhone)</t>
        </is>
      </c>
      <c r="F87" s="6" t="inlineStr">
        <is>
          <t>Menu → Adicionar à tela inicial → abrir pelo ícone</t>
        </is>
      </c>
      <c r="G87" s="6" t="inlineStr">
        <is>
          <t>Abre como aplicativo, sem a barra do navegador</t>
        </is>
      </c>
      <c r="H87" s="6" t="inlineStr">
        <is>
          <t>Média</t>
        </is>
      </c>
      <c r="I87" s="8" t="n"/>
      <c r="J87" s="8" t="n"/>
      <c r="K87" s="9" t="n"/>
      <c r="L87" s="8" t="inlineStr">
        <is>
          <t>Não testado</t>
        </is>
      </c>
      <c r="M87" s="8" t="n"/>
    </row>
    <row r="88">
      <c r="A88" s="5" t="inlineStr">
        <is>
          <t>V08</t>
        </is>
      </c>
      <c r="B88" s="6" t="inlineStr">
        <is>
          <t>Todos</t>
        </is>
      </c>
      <c r="C88" s="6" t="inlineStr">
        <is>
          <t>Coordenação e uso geral</t>
        </is>
      </c>
      <c r="D88" s="6" t="inlineStr">
        <is>
          <t>Receber a versão nova</t>
        </is>
      </c>
      <c r="E88" s="6" t="inlineStr">
        <is>
          <t>Depois de uma atualização do sistema</t>
        </is>
      </c>
      <c r="F88" s="6" t="inlineStr">
        <is>
          <t>Fechar o sistema e abrir de novo</t>
        </is>
      </c>
      <c r="G88" s="6" t="inlineStr">
        <is>
          <t>Carrega a versão nova (as mudanças aparecem)</t>
        </is>
      </c>
      <c r="H88" s="6" t="inlineStr">
        <is>
          <t>Média</t>
        </is>
      </c>
      <c r="I88" s="8" t="n"/>
      <c r="J88" s="8" t="n"/>
      <c r="K88" s="9" t="n"/>
      <c r="L88" s="8" t="inlineStr">
        <is>
          <t>Não testado</t>
        </is>
      </c>
      <c r="M88" s="8" t="n"/>
    </row>
    <row r="89">
      <c r="A89" s="5" t="inlineStr">
        <is>
          <t>V09</t>
        </is>
      </c>
      <c r="B89" s="6" t="inlineStr">
        <is>
          <t>Coordenação geral</t>
        </is>
      </c>
      <c r="C89" s="6" t="inlineStr">
        <is>
          <t>Coordenação e uso geral</t>
        </is>
      </c>
      <c r="D89" s="6" t="inlineStr">
        <is>
          <t>Perfil da equipe no painel</t>
        </is>
      </c>
      <c r="E89" s="6" t="inlineStr">
        <is>
          <t>Bolsistas e agentes com perfil no campo respondido</t>
        </is>
      </c>
      <c r="F89" s="6" t="inlineStr">
        <is>
          <t>Visão geral → Quem é a equipe de execução</t>
        </is>
      </c>
      <c r="G89" s="6" t="inlineStr">
        <is>
          <t>Mostra quantas pessoas por função e os percentuais (agricultoras, moram na zona rural etc.) batendo com as fichas</t>
        </is>
      </c>
      <c r="H89" s="6" t="inlineStr">
        <is>
          <t>Média</t>
        </is>
      </c>
      <c r="I89" s="8" t="n"/>
      <c r="J89" s="8" t="n"/>
      <c r="K89" s="9" t="n"/>
      <c r="L89" s="8" t="inlineStr">
        <is>
          <t>Não testado</t>
        </is>
      </c>
      <c r="M89" s="8" t="n"/>
    </row>
    <row r="90">
      <c r="A90" s="5" t="inlineStr">
        <is>
          <t>V10</t>
        </is>
      </c>
      <c r="B90" s="6" t="inlineStr">
        <is>
          <t>Qualquer perfil</t>
        </is>
      </c>
      <c r="C90" s="6" t="inlineStr">
        <is>
          <t>Coordenação e uso geral</t>
        </is>
      </c>
      <c r="D90" s="6" t="inlineStr">
        <is>
          <t>Abrir o roteiro de testes</t>
        </is>
      </c>
      <c r="E90" s="6" t="inlineStr">
        <is>
          <t>Link com #teste no final</t>
        </is>
      </c>
      <c r="F90" s="6" t="inlineStr">
        <is>
          <t>Abrir o link e entrar</t>
        </is>
      </c>
      <c r="G90" s="6" t="inlineStr">
        <is>
          <t>Aparece a barra "Teste" embaixo; ao tocar, abre as tarefas do perfil</t>
        </is>
      </c>
      <c r="H90" s="6" t="inlineStr">
        <is>
          <t>Alta</t>
        </is>
      </c>
      <c r="I90" s="8" t="n"/>
      <c r="J90" s="8" t="n"/>
      <c r="K90" s="9" t="n"/>
      <c r="L90" s="8" t="inlineStr">
        <is>
          <t>Não testado</t>
        </is>
      </c>
      <c r="M90" s="8" t="n"/>
    </row>
    <row r="91">
      <c r="A91" s="5" t="inlineStr">
        <is>
          <t>V11</t>
        </is>
      </c>
      <c r="B91" s="6" t="inlineStr">
        <is>
          <t>Qualquer perfil</t>
        </is>
      </c>
      <c r="C91" s="6" t="inlineStr">
        <is>
          <t>Coordenação e uso geral</t>
        </is>
      </c>
      <c r="D91" s="6" t="inlineStr">
        <is>
          <t>Responder tarefa do roteiro</t>
        </is>
      </c>
      <c r="E91" s="6" t="inlineStr">
        <is>
          <t>V10</t>
        </is>
      </c>
      <c r="F91" s="6" t="inlineStr">
        <is>
          <t>Numa tarefa: Não deu certo → escrever o que aconteceu → enviar; em outra: Deu certo</t>
        </is>
      </c>
      <c r="G91" s="6" t="inlineStr">
        <is>
          <t>As respostas ficam marcadas; ao recarregar continuam lá</t>
        </is>
      </c>
      <c r="H91" s="6" t="inlineStr">
        <is>
          <t>Alta</t>
        </is>
      </c>
      <c r="I91" s="8" t="n"/>
      <c r="J91" s="8" t="n"/>
      <c r="K91" s="9" t="n"/>
      <c r="L91" s="8" t="inlineStr">
        <is>
          <t>Não testado</t>
        </is>
      </c>
      <c r="M91" s="8" t="n"/>
    </row>
    <row r="92">
      <c r="A92" s="5" t="inlineStr">
        <is>
          <t>V12</t>
        </is>
      </c>
      <c r="B92" s="6" t="inlineStr">
        <is>
          <t>Coordenação geral</t>
        </is>
      </c>
      <c r="C92" s="6" t="inlineStr">
        <is>
          <t>Coordenação e uso geral</t>
        </is>
      </c>
      <c r="D92" s="6" t="inlineStr">
        <is>
          <t>Ver resultados de todos</t>
        </is>
      </c>
      <c r="E92" s="6" t="inlineStr">
        <is>
          <t>Outras pessoas responderam o roteiro</t>
        </is>
      </c>
      <c r="F92" s="6" t="inlineStr">
        <is>
          <t>Roteiro → Resultados de todos</t>
        </is>
      </c>
      <c r="G92" s="6" t="inlineStr">
        <is>
          <t>Mostra as respostas de cada pessoa com os comentários; outros perfis não veem esse botão</t>
        </is>
      </c>
      <c r="H92" s="7" t="inlineStr">
        <is>
          <t>Crítica</t>
        </is>
      </c>
      <c r="I92" s="8" t="n"/>
      <c r="J92" s="8" t="n"/>
      <c r="K92" s="9" t="n"/>
      <c r="L92" s="8" t="inlineStr">
        <is>
          <t>Não testado</t>
        </is>
      </c>
      <c r="M92" s="8" t="n"/>
    </row>
    <row r="93">
      <c r="A93" s="5" t="inlineStr">
        <is>
          <t>V13</t>
        </is>
      </c>
      <c r="B93" s="6" t="inlineStr">
        <is>
          <t>Coordenação geral</t>
        </is>
      </c>
      <c r="C93" s="6" t="inlineStr">
        <is>
          <t>Coordenação e uso geral</t>
        </is>
      </c>
      <c r="D93" s="6" t="inlineStr">
        <is>
          <t>Convidar para o teste</t>
        </is>
      </c>
      <c r="E93" s="6" t="inlineStr">
        <is>
          <t>Pessoa sem senha</t>
        </is>
      </c>
      <c r="F93" s="6" t="inlineStr">
        <is>
          <t>Roteiro → Convidar para o teste (dados de acesso) → Gerar convite → Mandar por WhatsApp</t>
        </is>
      </c>
      <c r="G93" s="6" t="inlineStr">
        <is>
          <t>Mensagem pronta com o link #teste, o e-mail e o código de acesso</t>
        </is>
      </c>
      <c r="H93" s="6" t="inlineStr">
        <is>
          <t>Alta</t>
        </is>
      </c>
      <c r="I93" s="8" t="n"/>
      <c r="J93" s="8" t="n"/>
      <c r="K93" s="9" t="n"/>
      <c r="L93" s="8" t="inlineStr">
        <is>
          <t>Não testado</t>
        </is>
      </c>
      <c r="M93" s="8" t="n"/>
    </row>
    <row r="94">
      <c r="A94" s="5" t="inlineStr">
        <is>
          <t>K01</t>
        </is>
      </c>
      <c r="B94" s="6" t="inlineStr">
        <is>
          <t>Coordenação geral</t>
        </is>
      </c>
      <c r="C94" s="6" t="inlineStr">
        <is>
          <t>Custos e vitrine pública</t>
        </is>
      </c>
      <c r="D94" s="6" t="inlineStr">
        <is>
          <t>Mudar valores usados</t>
        </is>
      </c>
      <c r="E94" s="6" t="inlineStr">
        <is>
          <t>—</t>
        </is>
      </c>
      <c r="F94" s="6" t="inlineStr">
        <is>
          <t>Custos → Valores usados → mudar o preço da gasolina → salvar</t>
        </is>
      </c>
      <c r="G94" s="6" t="inlineStr">
        <is>
          <t>Os valores das visitas recalculam; o Histórico registra a mudança</t>
        </is>
      </c>
      <c r="H94" s="6" t="inlineStr">
        <is>
          <t>Alta</t>
        </is>
      </c>
      <c r="I94" s="8" t="n"/>
      <c r="J94" s="8" t="n"/>
      <c r="K94" s="9" t="n"/>
      <c r="L94" s="8" t="inlineStr">
        <is>
          <t>Não testado</t>
        </is>
      </c>
      <c r="M94" s="8" t="n"/>
    </row>
    <row r="95">
      <c r="A95" s="5" t="inlineStr">
        <is>
          <t>K02</t>
        </is>
      </c>
      <c r="B95" s="6" t="inlineStr">
        <is>
          <t>Coordenação técnica</t>
        </is>
      </c>
      <c r="C95" s="6" t="inlineStr">
        <is>
          <t>Custos e vitrine pública</t>
        </is>
      </c>
      <c r="D95" s="6" t="inlineStr">
        <is>
          <t>Informar km conferido</t>
        </is>
      </c>
      <c r="E95" s="6" t="inlineStr">
        <is>
          <t>Visita feita com distância estimada errada</t>
        </is>
      </c>
      <c r="F95" s="6" t="inlineStr">
        <is>
          <t>Custos → visita → km conferido → salvar</t>
        </is>
      </c>
      <c r="G95" s="6" t="inlineStr">
        <is>
          <t>O valor da ajuda de custo da visita muda; o Histórico registra "definiu a distância"</t>
        </is>
      </c>
      <c r="H95" s="6" t="inlineStr">
        <is>
          <t>Alta</t>
        </is>
      </c>
      <c r="I95" s="8" t="n"/>
      <c r="J95" s="8" t="n"/>
      <c r="K95" s="9" t="n"/>
      <c r="L95" s="8" t="inlineStr">
        <is>
          <t>Não testado</t>
        </is>
      </c>
      <c r="M95" s="8" t="n"/>
    </row>
    <row r="96">
      <c r="A96" s="5" t="inlineStr">
        <is>
          <t>K03</t>
        </is>
      </c>
      <c r="B96" s="6" t="inlineStr">
        <is>
          <t>Agente de campo</t>
        </is>
      </c>
      <c r="C96" s="6" t="inlineStr">
        <is>
          <t>Custos e vitrine pública</t>
        </is>
      </c>
      <c r="D96" s="6" t="inlineStr">
        <is>
          <t>Valor igual nas duas telas</t>
        </is>
      </c>
      <c r="E96" s="6" t="inlineStr">
        <is>
          <t>K02 feito</t>
        </is>
      </c>
      <c r="F96" s="6" t="inlineStr">
        <is>
          <t>Comparar o valor da visita no pedido de ajuda de custo com o valor na aba Custos</t>
        </is>
      </c>
      <c r="G96" s="6" t="inlineStr">
        <is>
          <t>Os valores são iguais</t>
        </is>
      </c>
      <c r="H96" s="6" t="inlineStr">
        <is>
          <t>Alta</t>
        </is>
      </c>
      <c r="I96" s="8" t="n"/>
      <c r="J96" s="8" t="n"/>
      <c r="K96" s="9" t="n"/>
      <c r="L96" s="8" t="inlineStr">
        <is>
          <t>Não testado</t>
        </is>
      </c>
      <c r="M96" s="8" t="n"/>
    </row>
    <row r="97">
      <c r="A97" s="5" t="inlineStr">
        <is>
          <t>K04</t>
        </is>
      </c>
      <c r="B97" s="6" t="inlineStr">
        <is>
          <t>Coordenação geral</t>
        </is>
      </c>
      <c r="C97" s="6" t="inlineStr">
        <is>
          <t>Custos e vitrine pública</t>
        </is>
      </c>
      <c r="D97" s="6" t="inlineStr">
        <is>
          <t>Caber no orçamento</t>
        </is>
      </c>
      <c r="E97" s="6" t="inlineStr">
        <is>
          <t>—</t>
        </is>
      </c>
      <c r="F97" s="6" t="inlineStr">
        <is>
          <t>Custos → Proposta de roteiro → Caber no orçamento</t>
        </is>
      </c>
      <c r="G97" s="6" t="inlineStr">
        <is>
          <t>Mostra o custo projetado do projeto, o teto e quanto cada medida economiza</t>
        </is>
      </c>
      <c r="H97" s="6" t="inlineStr">
        <is>
          <t>Média</t>
        </is>
      </c>
      <c r="I97" s="8" t="n"/>
      <c r="J97" s="8" t="n"/>
      <c r="K97" s="9" t="n"/>
      <c r="L97" s="8" t="inlineStr">
        <is>
          <t>Não testado</t>
        </is>
      </c>
      <c r="M97" s="8" t="n"/>
    </row>
    <row r="98">
      <c r="A98" s="5" t="inlineStr">
        <is>
          <t>K05</t>
        </is>
      </c>
      <c r="B98" s="6" t="inlineStr">
        <is>
          <t>Coordenação técnica</t>
        </is>
      </c>
      <c r="C98" s="6" t="inlineStr">
        <is>
          <t>Custos e vitrine pública</t>
        </is>
      </c>
      <c r="D98" s="6" t="inlineStr">
        <is>
          <t>Publicar foto na vitrine</t>
        </is>
      </c>
      <c r="E98" s="6" t="inlineStr">
        <is>
          <t>Diagnóstico de mulher que autorizou uso de imagem</t>
        </is>
      </c>
      <c r="F98" s="6" t="inlineStr">
        <is>
          <t>Abrir o diagnóstico → Publicar na vitrine → confirmar</t>
        </is>
      </c>
      <c r="G98" s="6" t="inlineStr">
        <is>
          <t>Foto aparece na tela de entrada e em O projeto em números, sem nome, CPF ou endereço</t>
        </is>
      </c>
      <c r="H98" s="6" t="inlineStr">
        <is>
          <t>Alta</t>
        </is>
      </c>
      <c r="I98" s="8" t="n"/>
      <c r="J98" s="8" t="n"/>
      <c r="K98" s="9" t="n"/>
      <c r="L98" s="8" t="inlineStr">
        <is>
          <t>Não testado</t>
        </is>
      </c>
      <c r="M98" s="8" t="n"/>
    </row>
    <row r="99">
      <c r="A99" s="5" t="inlineStr">
        <is>
          <t>K06</t>
        </is>
      </c>
      <c r="B99" s="6" t="inlineStr">
        <is>
          <t>Coordenação técnica</t>
        </is>
      </c>
      <c r="C99" s="6" t="inlineStr">
        <is>
          <t>Custos e vitrine pública</t>
        </is>
      </c>
      <c r="D99" s="6" t="inlineStr">
        <is>
          <t>Mulher sem autorização de imagem</t>
        </is>
      </c>
      <c r="E99" s="6" t="inlineStr">
        <is>
          <t>Diagnóstico de mulher que não autorizou imagem</t>
        </is>
      </c>
      <c r="F99" s="6" t="inlineStr">
        <is>
          <t>Abrir o diagnóstico e procurar publicar</t>
        </is>
      </c>
      <c r="G99" s="6" t="inlineStr">
        <is>
          <t>Aviso de que as fotos dela não podem ir para a vitrine; não há botão de publicar</t>
        </is>
      </c>
      <c r="H99" s="7" t="inlineStr">
        <is>
          <t>Crítica</t>
        </is>
      </c>
      <c r="I99" s="8" t="n"/>
      <c r="J99" s="8" t="n"/>
      <c r="K99" s="9" t="n"/>
      <c r="L99" s="8" t="inlineStr">
        <is>
          <t>Não testado</t>
        </is>
      </c>
      <c r="M99" s="8" t="n"/>
    </row>
    <row r="100">
      <c r="A100" s="5" t="inlineStr">
        <is>
          <t>K07</t>
        </is>
      </c>
      <c r="B100" s="6" t="inlineStr">
        <is>
          <t>Coordenação técnica</t>
        </is>
      </c>
      <c r="C100" s="6" t="inlineStr">
        <is>
          <t>Custos e vitrine pública</t>
        </is>
      </c>
      <c r="D100" s="6" t="inlineStr">
        <is>
          <t>Retirar foto da vitrine</t>
        </is>
      </c>
      <c r="E100" s="6" t="inlineStr">
        <is>
          <t>K05 feito</t>
        </is>
      </c>
      <c r="F100" s="6" t="inlineStr">
        <is>
          <t>Campo → Vitrine pública → retirar a foto</t>
        </is>
      </c>
      <c r="G100" s="6" t="inlineStr">
        <is>
          <t>Mensagem "Foto retirada da vitrine"; some da tela de entrada</t>
        </is>
      </c>
      <c r="H100" s="6" t="inlineStr">
        <is>
          <t>Alta</t>
        </is>
      </c>
      <c r="I100" s="8" t="n"/>
      <c r="J100" s="8" t="n"/>
      <c r="K100" s="9" t="n"/>
      <c r="L100" s="8" t="inlineStr">
        <is>
          <t>Não testado</t>
        </is>
      </c>
      <c r="M100" s="8" t="n"/>
    </row>
    <row r="101">
      <c r="A101" s="5" t="inlineStr">
        <is>
          <t>K08</t>
        </is>
      </c>
      <c r="B101" s="6" t="inlineStr">
        <is>
          <t>Pessoa de fora</t>
        </is>
      </c>
      <c r="C101" s="6" t="inlineStr">
        <is>
          <t>Custos e vitrine pública</t>
        </is>
      </c>
      <c r="D101" s="6" t="inlineStr">
        <is>
          <t>O projeto em números sem login</t>
        </is>
      </c>
      <c r="E101" s="6" t="inlineStr">
        <is>
          <t>Navegador sem login</t>
        </is>
      </c>
      <c r="F101" s="6" t="inlineStr">
        <is>
          <t>Abrir o endereço do sistema com #numeros no final</t>
        </is>
      </c>
      <c r="G101" s="6" t="inlineStr">
        <is>
          <t>Mostra os números do projeto sem pedir senha e sem nenhum dado pessoal</t>
        </is>
      </c>
      <c r="H101" s="7" t="inlineStr">
        <is>
          <t>Crítica</t>
        </is>
      </c>
      <c r="I101" s="8" t="n"/>
      <c r="J101" s="8" t="n"/>
      <c r="K101" s="9" t="n"/>
      <c r="L101" s="8" t="inlineStr">
        <is>
          <t>Não testado</t>
        </is>
      </c>
      <c r="M101" s="8" t="n"/>
    </row>
  </sheetData>
  <autoFilter ref="A1:M101"/>
  <conditionalFormatting sqref="L2:L101">
    <cfRule type="expression" priority="1" dxfId="0">
      <formula>$L2="Passou"</formula>
    </cfRule>
    <cfRule type="expression" priority="2" dxfId="1">
      <formula>$L2="Falhou"</formula>
    </cfRule>
    <cfRule type="expression" priority="3" dxfId="2">
      <formula>$L2="Bloqueado"</formula>
    </cfRule>
  </conditionalFormatting>
  <dataValidations count="1">
    <dataValidation sqref="L2:L101" showDropDown="0" showInputMessage="0" showErrorMessage="0" allowBlank="1" errorTitle="Resultado" error="Escolha Passou, Falhou, Bloqueado ou Não testado." type="list">
      <formula1>"Passou,Falhou,Bloqueado,Não testado"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11" customWidth="1" min="5" max="5"/>
    <col width="12" customWidth="1" min="6" max="6"/>
    <col width="11" customWidth="1" min="7" max="7"/>
    <col width="16" customWidth="1" min="8" max="8"/>
  </cols>
  <sheetData>
    <row r="1">
      <c r="A1" s="4" t="inlineStr">
        <is>
          <t>Área</t>
        </is>
      </c>
      <c r="B1" s="4" t="inlineStr">
        <is>
          <t>Casos</t>
        </is>
      </c>
      <c r="C1" s="4" t="inlineStr">
        <is>
          <t>Passou</t>
        </is>
      </c>
      <c r="D1" s="4" t="inlineStr">
        <is>
          <t>Falhou</t>
        </is>
      </c>
      <c r="E1" s="4" t="inlineStr">
        <is>
          <t>Bloqueado</t>
        </is>
      </c>
      <c r="F1" s="4" t="inlineStr">
        <is>
          <t>Não testado</t>
        </is>
      </c>
      <c r="G1" s="4" t="inlineStr">
        <is>
          <t>% testado</t>
        </is>
      </c>
      <c r="H1" s="4" t="inlineStr">
        <is>
          <t>% que passou (dos testados)</t>
        </is>
      </c>
    </row>
    <row r="2">
      <c r="A2" s="10" t="inlineStr">
        <is>
          <t>Acesso e login</t>
        </is>
      </c>
      <c r="B2" s="10">
        <f>COUNTIF('Casos de teste'!$C$2:$C$101,A2)</f>
        <v/>
      </c>
      <c r="C2" s="10">
        <f>COUNTIFS('Casos de teste'!$C$2:$C$101,$A2,'Casos de teste'!$L$2:$L$101,"Passou")</f>
        <v/>
      </c>
      <c r="D2" s="10">
        <f>COUNTIFS('Casos de teste'!$C$2:$C$101,$A2,'Casos de teste'!$L$2:$L$101,"Falhou")</f>
        <v/>
      </c>
      <c r="E2" s="10">
        <f>COUNTIFS('Casos de teste'!$C$2:$C$101,$A2,'Casos de teste'!$L$2:$L$101,"Bloqueado")</f>
        <v/>
      </c>
      <c r="F2" s="10">
        <f>COUNTIFS('Casos de teste'!$C$2:$C$101,$A2,'Casos de teste'!$L$2:$L$101,"Não testado")</f>
        <v/>
      </c>
      <c r="G2" s="11">
        <f>IF(B2=0,0,(C2+D2)/B2)</f>
        <v/>
      </c>
      <c r="H2" s="11">
        <f>IF(C2+D2=0,"-",C2/(C2+D2))</f>
        <v/>
      </c>
    </row>
    <row r="3">
      <c r="A3" s="10" t="inlineStr">
        <is>
          <t>Cadastro da equipe</t>
        </is>
      </c>
      <c r="B3" s="10">
        <f>COUNTIF('Casos de teste'!$C$2:$C$101,A3)</f>
        <v/>
      </c>
      <c r="C3" s="10">
        <f>COUNTIFS('Casos de teste'!$C$2:$C$101,$A3,'Casos de teste'!$L$2:$L$101,"Passou")</f>
        <v/>
      </c>
      <c r="D3" s="10">
        <f>COUNTIFS('Casos de teste'!$C$2:$C$101,$A3,'Casos de teste'!$L$2:$L$101,"Falhou")</f>
        <v/>
      </c>
      <c r="E3" s="10">
        <f>COUNTIFS('Casos de teste'!$C$2:$C$101,$A3,'Casos de teste'!$L$2:$L$101,"Bloqueado")</f>
        <v/>
      </c>
      <c r="F3" s="10">
        <f>COUNTIFS('Casos de teste'!$C$2:$C$101,$A3,'Casos de teste'!$L$2:$L$101,"Não testado")</f>
        <v/>
      </c>
      <c r="G3" s="11">
        <f>IF(B3=0,0,(C3+D3)/B3)</f>
        <v/>
      </c>
      <c r="H3" s="11">
        <f>IF(C3+D3=0,"-",C3/(C3+D3))</f>
        <v/>
      </c>
    </row>
    <row r="4">
      <c r="A4" s="10" t="inlineStr">
        <is>
          <t>Pendências, guia e ajuda</t>
        </is>
      </c>
      <c r="B4" s="10">
        <f>COUNTIF('Casos de teste'!$C$2:$C$101,A4)</f>
        <v/>
      </c>
      <c r="C4" s="10">
        <f>COUNTIFS('Casos de teste'!$C$2:$C$101,$A4,'Casos de teste'!$L$2:$L$101,"Passou")</f>
        <v/>
      </c>
      <c r="D4" s="10">
        <f>COUNTIFS('Casos de teste'!$C$2:$C$101,$A4,'Casos de teste'!$L$2:$L$101,"Falhou")</f>
        <v/>
      </c>
      <c r="E4" s="10">
        <f>COUNTIFS('Casos de teste'!$C$2:$C$101,$A4,'Casos de teste'!$L$2:$L$101,"Bloqueado")</f>
        <v/>
      </c>
      <c r="F4" s="10">
        <f>COUNTIFS('Casos de teste'!$C$2:$C$101,$A4,'Casos de teste'!$L$2:$L$101,"Não testado")</f>
        <v/>
      </c>
      <c r="G4" s="11">
        <f>IF(B4=0,0,(C4+D4)/B4)</f>
        <v/>
      </c>
      <c r="H4" s="11">
        <f>IF(C4+D4=0,"-",C4/(C4+D4))</f>
        <v/>
      </c>
    </row>
    <row r="5">
      <c r="A5" s="10" t="inlineStr">
        <is>
          <t>Seleção das mulheres</t>
        </is>
      </c>
      <c r="B5" s="10">
        <f>COUNTIF('Casos de teste'!$C$2:$C$101,A5)</f>
        <v/>
      </c>
      <c r="C5" s="10">
        <f>COUNTIFS('Casos de teste'!$C$2:$C$101,$A5,'Casos de teste'!$L$2:$L$101,"Passou")</f>
        <v/>
      </c>
      <c r="D5" s="10">
        <f>COUNTIFS('Casos de teste'!$C$2:$C$101,$A5,'Casos de teste'!$L$2:$L$101,"Falhou")</f>
        <v/>
      </c>
      <c r="E5" s="10">
        <f>COUNTIFS('Casos de teste'!$C$2:$C$101,$A5,'Casos de teste'!$L$2:$L$101,"Bloqueado")</f>
        <v/>
      </c>
      <c r="F5" s="10">
        <f>COUNTIFS('Casos de teste'!$C$2:$C$101,$A5,'Casos de teste'!$L$2:$L$101,"Não testado")</f>
        <v/>
      </c>
      <c r="G5" s="11">
        <f>IF(B5=0,0,(C5+D5)/B5)</f>
        <v/>
      </c>
      <c r="H5" s="11">
        <f>IF(C5+D5=0,"-",C5/(C5+D5))</f>
        <v/>
      </c>
    </row>
    <row r="6">
      <c r="A6" s="10" t="inlineStr">
        <is>
          <t>Trabalho de campo</t>
        </is>
      </c>
      <c r="B6" s="10">
        <f>COUNTIF('Casos de teste'!$C$2:$C$101,A6)</f>
        <v/>
      </c>
      <c r="C6" s="10">
        <f>COUNTIFS('Casos de teste'!$C$2:$C$101,$A6,'Casos de teste'!$L$2:$L$101,"Passou")</f>
        <v/>
      </c>
      <c r="D6" s="10">
        <f>COUNTIFS('Casos de teste'!$C$2:$C$101,$A6,'Casos de teste'!$L$2:$L$101,"Falhou")</f>
        <v/>
      </c>
      <c r="E6" s="10">
        <f>COUNTIFS('Casos de teste'!$C$2:$C$101,$A6,'Casos de teste'!$L$2:$L$101,"Bloqueado")</f>
        <v/>
      </c>
      <c r="F6" s="10">
        <f>COUNTIFS('Casos de teste'!$C$2:$C$101,$A6,'Casos de teste'!$L$2:$L$101,"Não testado")</f>
        <v/>
      </c>
      <c r="G6" s="11">
        <f>IF(B6=0,0,(C6+D6)/B6)</f>
        <v/>
      </c>
      <c r="H6" s="11">
        <f>IF(C6+D6=0,"-",C6/(C6+D6))</f>
        <v/>
      </c>
    </row>
    <row r="7">
      <c r="A7" s="10" t="inlineStr">
        <is>
          <t>Curso FIC e entregas do mês</t>
        </is>
      </c>
      <c r="B7" s="10">
        <f>COUNTIF('Casos de teste'!$C$2:$C$101,A7)</f>
        <v/>
      </c>
      <c r="C7" s="10">
        <f>COUNTIFS('Casos de teste'!$C$2:$C$101,$A7,'Casos de teste'!$L$2:$L$101,"Passou")</f>
        <v/>
      </c>
      <c r="D7" s="10">
        <f>COUNTIFS('Casos de teste'!$C$2:$C$101,$A7,'Casos de teste'!$L$2:$L$101,"Falhou")</f>
        <v/>
      </c>
      <c r="E7" s="10">
        <f>COUNTIFS('Casos de teste'!$C$2:$C$101,$A7,'Casos de teste'!$L$2:$L$101,"Bloqueado")</f>
        <v/>
      </c>
      <c r="F7" s="10">
        <f>COUNTIFS('Casos de teste'!$C$2:$C$101,$A7,'Casos de teste'!$L$2:$L$101,"Não testado")</f>
        <v/>
      </c>
      <c r="G7" s="11">
        <f>IF(B7=0,0,(C7+D7)/B7)</f>
        <v/>
      </c>
      <c r="H7" s="11">
        <f>IF(C7+D7=0,"-",C7/(C7+D7))</f>
        <v/>
      </c>
    </row>
    <row r="8">
      <c r="A8" s="10" t="inlineStr">
        <is>
          <t>Pagamentos</t>
        </is>
      </c>
      <c r="B8" s="10">
        <f>COUNTIF('Casos de teste'!$C$2:$C$101,A8)</f>
        <v/>
      </c>
      <c r="C8" s="10">
        <f>COUNTIFS('Casos de teste'!$C$2:$C$101,$A8,'Casos de teste'!$L$2:$L$101,"Passou")</f>
        <v/>
      </c>
      <c r="D8" s="10">
        <f>COUNTIFS('Casos de teste'!$C$2:$C$101,$A8,'Casos de teste'!$L$2:$L$101,"Falhou")</f>
        <v/>
      </c>
      <c r="E8" s="10">
        <f>COUNTIFS('Casos de teste'!$C$2:$C$101,$A8,'Casos de teste'!$L$2:$L$101,"Bloqueado")</f>
        <v/>
      </c>
      <c r="F8" s="10">
        <f>COUNTIFS('Casos de teste'!$C$2:$C$101,$A8,'Casos de teste'!$L$2:$L$101,"Não testado")</f>
        <v/>
      </c>
      <c r="G8" s="11">
        <f>IF(B8=0,0,(C8+D8)/B8)</f>
        <v/>
      </c>
      <c r="H8" s="11">
        <f>IF(C8+D8=0,"-",C8/(C8+D8))</f>
        <v/>
      </c>
    </row>
    <row r="9">
      <c r="A9" s="10" t="inlineStr">
        <is>
          <t>Coordenação e uso geral</t>
        </is>
      </c>
      <c r="B9" s="10">
        <f>COUNTIF('Casos de teste'!$C$2:$C$101,A9)</f>
        <v/>
      </c>
      <c r="C9" s="10">
        <f>COUNTIFS('Casos de teste'!$C$2:$C$101,$A9,'Casos de teste'!$L$2:$L$101,"Passou")</f>
        <v/>
      </c>
      <c r="D9" s="10">
        <f>COUNTIFS('Casos de teste'!$C$2:$C$101,$A9,'Casos de teste'!$L$2:$L$101,"Falhou")</f>
        <v/>
      </c>
      <c r="E9" s="10">
        <f>COUNTIFS('Casos de teste'!$C$2:$C$101,$A9,'Casos de teste'!$L$2:$L$101,"Bloqueado")</f>
        <v/>
      </c>
      <c r="F9" s="10">
        <f>COUNTIFS('Casos de teste'!$C$2:$C$101,$A9,'Casos de teste'!$L$2:$L$101,"Não testado")</f>
        <v/>
      </c>
      <c r="G9" s="11">
        <f>IF(B9=0,0,(C9+D9)/B9)</f>
        <v/>
      </c>
      <c r="H9" s="11">
        <f>IF(C9+D9=0,"-",C9/(C9+D9))</f>
        <v/>
      </c>
    </row>
    <row r="10">
      <c r="A10" s="10" t="inlineStr">
        <is>
          <t>Custos e vitrine pública</t>
        </is>
      </c>
      <c r="B10" s="10">
        <f>COUNTIF('Casos de teste'!$C$2:$C$101,A10)</f>
        <v/>
      </c>
      <c r="C10" s="10">
        <f>COUNTIFS('Casos de teste'!$C$2:$C$101,$A10,'Casos de teste'!$L$2:$L$101,"Passou")</f>
        <v/>
      </c>
      <c r="D10" s="10">
        <f>COUNTIFS('Casos de teste'!$C$2:$C$101,$A10,'Casos de teste'!$L$2:$L$101,"Falhou")</f>
        <v/>
      </c>
      <c r="E10" s="10">
        <f>COUNTIFS('Casos de teste'!$C$2:$C$101,$A10,'Casos de teste'!$L$2:$L$101,"Bloqueado")</f>
        <v/>
      </c>
      <c r="F10" s="10">
        <f>COUNTIFS('Casos de teste'!$C$2:$C$101,$A10,'Casos de teste'!$L$2:$L$101,"Não testado")</f>
        <v/>
      </c>
      <c r="G10" s="11">
        <f>IF(B10=0,0,(C10+D10)/B10)</f>
        <v/>
      </c>
      <c r="H10" s="11">
        <f>IF(C10+D10=0,"-",C10/(C10+D10))</f>
        <v/>
      </c>
    </row>
    <row r="11">
      <c r="A11" s="12" t="inlineStr">
        <is>
          <t>Total</t>
        </is>
      </c>
      <c r="B11" s="12">
        <f>SUM(B2:B10)</f>
        <v/>
      </c>
      <c r="C11" s="12">
        <f>SUM(C2:C10)</f>
        <v/>
      </c>
      <c r="D11" s="12">
        <f>SUM(D2:D10)</f>
        <v/>
      </c>
      <c r="E11" s="12">
        <f>SUM(E2:E10)</f>
        <v/>
      </c>
      <c r="F11" s="12">
        <f>SUM(F2:F10)</f>
        <v/>
      </c>
      <c r="G11" s="13">
        <f>IF(B11=0,0,(C11+D11)/B11)</f>
        <v/>
      </c>
      <c r="H11" s="13">
        <f>IF(C11+D11=0,"-",C11/(C11+D11))</f>
        <v/>
      </c>
    </row>
    <row r="13">
      <c r="A13" s="14" t="inlineStr">
        <is>
          <t>Conta sozinho a partir da coluna Resultado da aba "Casos de teste". "Bloqueado" e "Não testado" não entram no % que passou.</t>
        </is>
      </c>
    </row>
    <row r="14">
      <c r="A14" s="15" t="inlineStr">
        <is>
          <t>Falhas abertas (IDs):</t>
        </is>
      </c>
      <c r="B14" s="16">
        <f t="array" ref="B14">IFERROR(_xlfn.TEXTJOIN(", ",TRUE,IF('Casos de teste'!$L$2:$L$101="Falhou",'Casos de teste'!$A$2:$A$101,"")),"")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2026-09-29T02:52:04Z</dcterms:created>
  <dcterms:modified xmlns:dcterms="http://purl.org/dc/terms/" xmlns:xsi="http://www.w3.org/2001/XMLSchema-instance" xsi:type="dcterms:W3CDTF">2026-09-29T02:52:04Z</dcterms:modified>
</cp:coreProperties>
</file>